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 fitosanitarios" sheetId="1" state="visible" r:id="rId3"/>
  </sheets>
  <definedNames>
    <definedName function="false" hidden="true" localSheetId="0" name="_xlnm._FilterDatabase" vbProcedure="false">'Productos fitosanitarios'!$A$1:$Q$38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3" authorId="0">
      <text>
        <r>
          <rPr>
            <sz val="10"/>
            <rFont val="Arial"/>
            <family val="2"/>
          </rPr>
          <t xml:space="preserve">Marbete Corteva «Elevore» (26/05/2022, SENASA N° 40776): 120 cm³/ha en presiembra de soja, en mezcla con glifosato (Panzer Gold 2,5 L/ha) + aceite vegetal metilado 0,5–1 % v/v. Convertido a L/ha. El costo real del tratamiento incluye esos productos de la mezcla.</t>
        </r>
      </text>
    </comment>
    <comment ref="D24" authorId="0">
      <text>
        <r>
          <rPr>
            <sz val="10"/>
            <rFont val="Arial"/>
            <family val="2"/>
          </rPr>
          <t xml:space="preserve">Marbete Dow/Corteva «Galant Max» (14/08/2020, SENASA N° 39.991): anuales 50–70 mL/ha, sorgo de alepo de rizoma 70–90 mL/ha, gramón 130–170 mL/ha. Se carga 70 mL/ha = 0,07 L/ha (valor común a anuales y a sorgo de alepo). Siempre con aceite metilado vegetal 200 cc/ha.</t>
        </r>
      </text>
    </comment>
    <comment ref="D25" authorId="0">
      <text>
        <r>
          <rPr>
            <sz val="10"/>
            <rFont val="Arial"/>
            <family val="2"/>
          </rPr>
          <t xml:space="preserve">Marbete Corteva «Spider» (05/09/2019, SENASA N° 33.101), región NEA/NOA, soja, pre-siembra/pre-emergencia: 30 g/ha = 0,03 kg/ha (42 g/ha solo en soja no transgénica con bejuco/campanilla). Con aceite Uptake Plus 0,5 % v/v.</t>
        </r>
      </text>
    </comment>
    <comment ref="D26" authorId="0">
      <text>
        <r>
          <rPr>
            <sz val="10"/>
            <rFont val="Arial"/>
            <family val="2"/>
          </rPr>
          <t xml:space="preserve">Marbete Corteva «Lontrel» (02/06/2022, SENASA N° 33.572): maíz 100–150 cm³/ha, sorgo 150–200 cm³/ha, ambos en mezcla con 2,4-D. Se carga 150 cm³/ha = 0,15 L/ha (valor válido para los dos cultivos).</t>
        </r>
      </text>
    </comment>
    <comment ref="D27" authorId="0">
      <text>
        <r>
          <rPr>
            <sz val="10"/>
            <rFont val="Arial"/>
            <family val="2"/>
          </rPr>
          <t xml:space="preserve">Marbete Corteva «Tordon 24K» (07/07/2020, SENASA N° 30.736): maíz/sorgo 100–125 cm³/ha + 2,4-D 320–480 cm³/ha. Se carga el punto medio 112,5 cm³/ha = 0,1125 L/ha. El marbete también cubre sorgo (la columna J solo dice Maíz).</t>
        </r>
      </text>
    </comment>
    <comment ref="D28" authorId="0">
      <text>
        <r>
          <rPr>
            <sz val="10"/>
            <rFont val="Arial"/>
            <family val="2"/>
          </rPr>
          <t xml:space="preserve">Marbete Corteva «Preside» (15/11/2019, SENASA N° 32.110): soja 1,0 L/ha en presiembra anticipada/incorporada o preemergencia. Maíz solo de germoplasma templado (no tropical/subtropical).</t>
        </r>
      </text>
    </comment>
    <comment ref="F2" authorId="0">
      <text>
        <r>
          <rPr>
            <sz val="10"/>
            <rFont val="Arial"/>
            <family val="2"/>
          </rPr>
          <t xml:space="preserve">Precios: camposimple.com.ar (USD por L o kg de producto, presentación de 10–20 L/kg). Mes tomado como 10/2026; ajustar si la captura es de otra fecha.</t>
        </r>
      </text>
    </comment>
    <comment ref="F6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Bidón 5 L. Fuente citada en el PDF: INTA EEA Sáenz Peña 2026.</t>
        </r>
      </text>
    </comment>
    <comment ref="F7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CASAFE Lista 2026-S1; Syngenta AMISTAR precio distribuidor.</t>
        </r>
      </text>
    </comment>
    <comment ref="F8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200 g. Fuente citada en el PDF: CASAFE Lista 2026-S1; Bayer NATIVO equivalente.</t>
        </r>
      </text>
    </comment>
    <comment ref="F9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1 kg. Fuente citada en el PDF: CASAFE Lista 2026-S1.</t>
        </r>
      </text>
    </comment>
    <comment ref="F10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CASAFE Lista 2026-S1; Bayer FOLICUR.</t>
        </r>
      </text>
    </comment>
    <comment ref="F11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INTA EEA Reconquista 2026; distribuidoras regionales.</t>
        </r>
      </text>
    </comment>
    <comment ref="F12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Bidón 20 L. Fuente citada en el PDF: CASAFE Lista 2026-S1.</t>
        </r>
      </text>
    </comment>
    <comment ref="F13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CASAFE Lista 2026-S1; Syngenta KARATE.</t>
        </r>
      </text>
    </comment>
    <comment ref="F14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CASAFE Lista 2026-S1; Bayer CONFIDOR.</t>
        </r>
      </text>
    </comment>
    <comment ref="F15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Dow/Corteva TRACER; INTA precio referencia.</t>
        </r>
      </text>
    </comment>
    <comment ref="F16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1 kg. Fuente citada en el PDF: CASAFE Lista 2026-S1; Syngenta ACTARA.</t>
        </r>
      </text>
    </comment>
    <comment ref="F17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50 kg. Fuente citada en el PDF: CIAFA 2026-T3; Profertil lista de precios.</t>
        </r>
      </text>
    </comment>
    <comment ref="F18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25 kg. Fuente citada en el PDF: K+S Kali EPSO Top; INTA NEA 2026.</t>
        </r>
      </text>
    </comment>
    <comment ref="F19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Distribuidoras NEA (estimado por principio activo). El PDF indica que requiere confirmación antes de cargar en producción.</t>
        </r>
      </text>
    </comment>
    <comment ref="F20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50 kg. Fuente citada en el PDF: CIAFA 2026-T3; Profertil lista de precios.</t>
        </r>
      </text>
    </comment>
    <comment ref="F21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Frasco 1 L. Fuente citada en el PDF: INTA EEA Sáenz Peña 2026; BASF ETHREL.</t>
        </r>
      </text>
    </comment>
    <comment ref="F22" authorId="0">
      <text>
        <r>
          <rPr>
            <sz val="10"/>
            <rFont val="Arial"/>
            <family val="2"/>
          </rPr>
          <t xml:space="preserve">Precio tomado del PDF de relevamiento HU-R4-05, no verificado de forma independiente. Presentación: Bolsa 1 kg. Fuente citada en el PDF: INTA EEA Sáenz Peña 2026; Bayer DROPP equivalente. Revisar la concentración (0,4 % + 0,4 %) contra el marbete: llama la atención para un WG.</t>
        </r>
      </text>
    </comment>
    <comment ref="H29" authorId="0">
      <text>
        <r>
          <rPr>
            <sz val="10"/>
            <rFont val="Arial"/>
            <family val="2"/>
          </rPr>
          <t xml:space="preserve">Power Plus II y LT Platinum II figuran al mismo precio (5,90 USD/L) y con la misma concentración (54 % eq. ac. = 66,2 % sal). Se unificaron en una sola fila. Confirmar con los marbetes.</t>
        </r>
      </text>
    </comment>
    <comment ref="H36" authorId="0">
      <text>
        <r>
          <rPr>
            <sz val="10"/>
            <rFont val="Arial"/>
            <family val="2"/>
          </rPr>
          <t xml:space="preserve">Discrepancia en la tienda: el título dice «2,4 D 97 %» pero el logo del envase dice «2,4-D etil hexil 64,3 % EC». Verificar la concentración real en el marbete antes de calcular la dosis.</t>
        </r>
      </text>
    </comment>
    <comment ref="H38" authorId="0">
      <text>
        <r>
          <rPr>
            <sz val="10"/>
            <rFont val="Arial"/>
            <family val="2"/>
          </rPr>
          <t xml:space="preserve">Pendiente de verificar: confirmar en el marbete que sea haloxyfop-R-metil y su concentración. La dosis no se cargó porque la de Galant Max (93,5 g/100 cm³) no aplica a este producto.</t>
        </r>
      </text>
    </comment>
  </commentList>
</comments>
</file>

<file path=xl/sharedStrings.xml><?xml version="1.0" encoding="utf-8"?>
<sst xmlns="http://schemas.openxmlformats.org/spreadsheetml/2006/main" count="356" uniqueCount="183">
  <si>
    <t xml:space="preserve">Nombre</t>
  </si>
  <si>
    <t xml:space="preserve">Tipo</t>
  </si>
  <si>
    <t xml:space="preserve">Causa asociada</t>
  </si>
  <si>
    <t xml:space="preserve">Dosis de referencia (por ha)</t>
  </si>
  <si>
    <t xml:space="preserve">Unidad de dosis</t>
  </si>
  <si>
    <t xml:space="preserve">Precio aprox. por unidad (USD)</t>
  </si>
  <si>
    <t xml:space="preserve">Costo aprox. por ha (USD)</t>
  </si>
  <si>
    <t xml:space="preserve">Producto de referencia (marca y concentración)</t>
  </si>
  <si>
    <t xml:space="preserve">Fecha / fuente del precio</t>
  </si>
  <si>
    <t xml:space="preserve">Cultivos del sistema</t>
  </si>
  <si>
    <t xml:space="preserve">Observaciones del marbete</t>
  </si>
  <si>
    <t xml:space="preserve">Restricciones ambientales</t>
  </si>
  <si>
    <t xml:space="preserve">Instrucciones de seguridad</t>
  </si>
  <si>
    <t xml:space="preserve">Estado</t>
  </si>
  <si>
    <t xml:space="preserve">Grupo de variantes</t>
  </si>
  <si>
    <t xml:space="preserve">Variante (qué la distingue)</t>
  </si>
  <si>
    <t xml:space="preserve">Nota de precio (referencia PDF)</t>
  </si>
  <si>
    <t xml:space="preserve">Glifosato</t>
  </si>
  <si>
    <t xml:space="preserve">herbicida</t>
  </si>
  <si>
    <t xml:space="preserve">interferencia_vegetacion</t>
  </si>
  <si>
    <t xml:space="preserve">L/ha</t>
  </si>
  <si>
    <t xml:space="preserve">Genérico — glifosato 66,2 % sal (54 % eq. ac.)</t>
  </si>
  <si>
    <t xml:space="preserve">camposimple.com.ar, 10/2026</t>
  </si>
  <si>
    <t xml:space="preserve">Tóxico para organismos acuáticos. No contaminar cursos de agua, embalses ni fuentes de agua.</t>
  </si>
  <si>
    <t xml:space="preserve">Usar protector facial, guantes, botas de goma, camisa y pantalón de manga larga durante preparación y aplicación. No ingerir ni inhalar. Lavar la piel expuesta con agua y jabón al finalizar.</t>
  </si>
  <si>
    <t xml:space="preserve">En catálogo</t>
  </si>
  <si>
    <t xml:space="preserve">Líquido 54 % eq. ac. — genérico</t>
  </si>
  <si>
    <t xml:space="preserve">PDF HU-R4-05 (2026-10): 3,50 USD/L — glifosato 48 % SL, bidón 20 L. Fuente citada: CASAFE Lista 2026-S1; AgroNEA Resistencia. Confianza PDF: alta. Difiere del precio de esta fila (camposimple, 54 % eq. ac.).</t>
  </si>
  <si>
    <t xml:space="preserve">2,4-D</t>
  </si>
  <si>
    <t xml:space="preserve">Genérico — 2,4-D etilhexílico 89 %</t>
  </si>
  <si>
    <t xml:space="preserve">Tóxico para organismos acuáticos con efectos duraderos. Alto riesgo de deriva sobre cultivos de hoja ancha sensibles (algodón, vid, hortícolas linderos) — no aplicar con viento en dirección a esos lotes.</t>
  </si>
  <si>
    <t xml:space="preserve">Usar equipo de protección personal completo según etiqueta (guantes, protección ocular, ropa que cubra la piel). Evitar contacto con piel, ojos y ropa.</t>
  </si>
  <si>
    <t xml:space="preserve">Éster etilhexílico 89 % — genérico</t>
  </si>
  <si>
    <t xml:space="preserve">PDF HU-R4-05 (2026-10): 3,80 USD/L — 2,4-D amina 480 SL, bidón 20 L. Fuente citada: CASAFE Lista 2026-S1. Confianza PDF: alta. Formulación distinta a la de esta fila (éster etilhexílico 89 %).</t>
  </si>
  <si>
    <t xml:space="preserve">Atrazina</t>
  </si>
  <si>
    <t xml:space="preserve">kg/ha</t>
  </si>
  <si>
    <t xml:space="preserve">Genérico — atrazina 90 WG</t>
  </si>
  <si>
    <t xml:space="preserve">Persistente — detectada en aguas superficiales y subterráneas. Mantener franja de seguridad de 10 m en aplicación terrestre y 100 m en aplicación aérea respecto a cursos de agua. No aplicar si hay riesgo de escorrentía.</t>
  </si>
  <si>
    <t xml:space="preserve">Usar equipo de protección personal completo durante preparación, mezcla y aplicación. No comer, beber ni fumar durante la tarea. Almacenar en lugar seco y ventilado, no junto a alimentos.</t>
  </si>
  <si>
    <t xml:space="preserve">90 WG — genérico</t>
  </si>
  <si>
    <t xml:space="preserve">PDF HU-R4-05 (2026-10): 5,20 USD/L — atrazina 500 SC, bidón 20 L. Fuente citada: CASAFE Lista 2026-S1; Agrogen NEA. Confianza PDF: alta. Ojo con la unidad: el PDF es SC en L y esta fila es WG en kg.</t>
  </si>
  <si>
    <t xml:space="preserve">Cletodim</t>
  </si>
  <si>
    <t xml:space="preserve">Genérico — cletodim 24 %</t>
  </si>
  <si>
    <t xml:space="preserve">No aplicar con viento superior a 4 km/h. No aplicar si se esperan lluvias dentro de las 3 horas siguientes. Usar boquilla antideriva.</t>
  </si>
  <si>
    <t xml:space="preserve">Reingreso al área tratada entre 24 y 48 horas después de la aplicación según formulación comercial — confirmar en el marbete específico.</t>
  </si>
  <si>
    <t xml:space="preserve">PDF HU-R4-05 (2026-10): 15,00 USD/L — cletodim 240 EC, bidón 5 L. Fuente citada: CASAFE Lista 2026-S1. Confianza PDF: alta. Misma concentración (24 %) y más del doble que esta fila (6,90 USD/L, bidón de 20 L).</t>
  </si>
  <si>
    <t xml:space="preserve">Imazetapir</t>
  </si>
  <si>
    <t xml:space="preserve">Imazetapir 100 SL</t>
  </si>
  <si>
    <t xml:space="preserve">Relevamiento PDF HU-R4-05 (2026-10), estimado. Confianza según PDF: media</t>
  </si>
  <si>
    <t xml:space="preserve">Alto efecto residual en el suelo — respetar 120 días entre la aplicación y la siembra de un cultivo subsiguiente sensible (ej. maíz no tolerante a imidazolinonas).</t>
  </si>
  <si>
    <t xml:space="preserve">Clasificación toxicológica Clase IV (normalmente no ofrece peligro). Usar equipo de protección personal estándar: guantes y protección ocular.</t>
  </si>
  <si>
    <t xml:space="preserve">Azoxistrobina</t>
  </si>
  <si>
    <t xml:space="preserve">fungicida</t>
  </si>
  <si>
    <t xml:space="preserve">estres_biotico_fungico</t>
  </si>
  <si>
    <t xml:space="preserve">Azoxistrobina 250 SC</t>
  </si>
  <si>
    <t xml:space="preserve">Relevamiento PDF HU-R4-05 (2026-10), estimado. Confianza según PDF: alta</t>
  </si>
  <si>
    <t xml:space="preserve">Muy tóxico para organismos acuáticos — evitar contaminación de cuerpos de agua. Prácticamente no tóxico para abejas.</t>
  </si>
  <si>
    <t xml:space="preserve">Reingreso 24 horas después de la aplicación. Usar gorro y overol de algodón, anteojos herméticos, máscara para polvo/vapores tóxicos, guantes y botas de neopreno.</t>
  </si>
  <si>
    <t xml:space="preserve">Trifloxistrobina</t>
  </si>
  <si>
    <t xml:space="preserve">Trifloxistrobina 500 WG</t>
  </si>
  <si>
    <t xml:space="preserve">No contaminar fuentes ni cursos de agua. Especial atención a napas subterráneas en suelos vulnerables. Máximo 4 aplicaciones por año.</t>
  </si>
  <si>
    <t xml:space="preserve">Usar solo en exteriores o en lugar bien ventilado. No respirar polvo ni niebla. Usar guantes de protección. Evitar ingestión, inhalación y contacto con la piel.</t>
  </si>
  <si>
    <t xml:space="preserve">Mancozeb</t>
  </si>
  <si>
    <t xml:space="preserve">Mancozeb 80 % WP</t>
  </si>
  <si>
    <t xml:space="preserve">Muy tóxico para organismos acuáticos con efectos duraderos. No contaminar fuentes de agua de riego o consumo. No lavar equipos de aplicación en ríos.</t>
  </si>
  <si>
    <t xml:space="preserve">Reingreso entre 12 y 48 horas según formulación — verificar en la etiqueta del producto específico. Usar guantes como protección mínima.</t>
  </si>
  <si>
    <t xml:space="preserve">Tebuconazol</t>
  </si>
  <si>
    <t xml:space="preserve">Tebuconazol 250 EW</t>
  </si>
  <si>
    <t xml:space="preserve">Tóxico para peces. No contaminar agua, alimentos ni forraje por eliminación del producto.</t>
  </si>
  <si>
    <t xml:space="preserve">Usar guantes, ropa, gafas y máscara de protección. Lavarse concienzudamente tras la manipulación. No comer, beber ni fumar durante el uso.</t>
  </si>
  <si>
    <t xml:space="preserve">Carbendazim</t>
  </si>
  <si>
    <t xml:space="preserve">Carbendazim 500 SC</t>
  </si>
  <si>
    <t xml:space="preserve">Muy tóxico para organismos acuáticos. Puede causar defectos genéticos y dañar la fertilidad — no disponer producto, envases o residuos cerca de ríos, lagunas o sistemas de drenaje.</t>
  </si>
  <si>
    <t xml:space="preserve">Usar guantes, ropa y protección ocular/facial (puede irritar piel y ojos). No permitir el ingreso al área tratada hasta 24 horas después de la aplicación.</t>
  </si>
  <si>
    <t xml:space="preserve">Clorpirifos</t>
  </si>
  <si>
    <t xml:space="preserve">insecticida</t>
  </si>
  <si>
    <t xml:space="preserve">estres_biotico_insecto</t>
  </si>
  <si>
    <t xml:space="preserve">Clorpirifos 48 % EC</t>
  </si>
  <si>
    <t xml:space="preserve">Lambda-cihalotrina</t>
  </si>
  <si>
    <t xml:space="preserve">Lambdacihalotrina 250 CS</t>
  </si>
  <si>
    <t xml:space="preserve">Clasificación "muy tóxico" para abejas. Avisar a apicultores del área con al menos 48 horas de anticipación. Aplicar en horarios de baja actividad de abejas. No aplicar durante floración. No aplicar con viento superior a 8 km/h ni temperatura mayor a 28°C.</t>
  </si>
  <si>
    <t xml:space="preserve">Usar mandil resistente a químicos, ropa que cubra el cuerpo, botas y gorra. Gafas protectoras herméticas. Protección respiratoria si hay formación de aerosol o neblina.</t>
  </si>
  <si>
    <t xml:space="preserve">Imidacloprid</t>
  </si>
  <si>
    <t xml:space="preserve">Imidacloprid 350 SC</t>
  </si>
  <si>
    <t xml:space="preserve">Categoría toxicológica II (moderadamente peligroso, franja amarilla). Muy tóxico para abejas. No aplicar durante floración. No asperjar sobre colmenas activas — si no se pueden trasladar, cubrir la entrada durante la aplicación y aplicar fuera del horario de pecoreo.</t>
  </si>
  <si>
    <t xml:space="preserve">Evitar respirar polvo, vapor o aspersión del producto. Triple lavado de envases tras el uso; inutilizar perforando o triturando.</t>
  </si>
  <si>
    <t xml:space="preserve">Spinosad</t>
  </si>
  <si>
    <t xml:space="preserve">Spinosad 480 SC</t>
  </si>
  <si>
    <t xml:space="preserve">No aplicar durante floración ni en horario de forrajeo activo de abejas, aunque no haya floración aparente en el cultivo tratado. No aplicar sobre vegetación espontánea en flor. Máximo 2 aplicaciones por campaña, con 14 días de separación mínima entre ellas.</t>
  </si>
  <si>
    <t xml:space="preserve">Una vez seco (pocas horas después de la aplicación) deja de ser tóxico para abejas — igual debe evitarse aplicar durante floración activa.</t>
  </si>
  <si>
    <t xml:space="preserve">Thiamethoxam</t>
  </si>
  <si>
    <t xml:space="preserve">Thiamethoxam 250 WG</t>
  </si>
  <si>
    <t xml:space="preserve">Urea 46% N</t>
  </si>
  <si>
    <t xml:space="preserve">fertilizante</t>
  </si>
  <si>
    <t xml:space="preserve">estres_nutricional_nitrogeno</t>
  </si>
  <si>
    <t xml:space="preserve">Urea granulada 46 % N</t>
  </si>
  <si>
    <t xml:space="preserve">Evitar vertido a cursos de agua superficial o subterránea — riesgo de contaminación por escorrentía o lixiviación de nitrógeno si se aplica en exceso o cerca de cursos de agua.</t>
  </si>
  <si>
    <t xml:space="preserve">Usar gafas de seguridad, máscara con filtro si hay concentración elevada de polvo, guantes y ropa de protección. Evitar generar polvo. No comer, beber ni fumar durante la manipulación. Lavarse las manos con agua y jabón después.</t>
  </si>
  <si>
    <t xml:space="preserve">Sulfato de Magnesio</t>
  </si>
  <si>
    <t xml:space="preserve">fertilizante_foliar</t>
  </si>
  <si>
    <t xml:space="preserve">estres_nutricional_micro</t>
  </si>
  <si>
    <t xml:space="preserve">Sulfato de magnesio heptahidratado</t>
  </si>
  <si>
    <t xml:space="preserve">Boro foliar 17%</t>
  </si>
  <si>
    <t xml:space="preserve">Ácido bórico / bórax foliar</t>
  </si>
  <si>
    <t xml:space="preserve">Relevamiento PDF HU-R4-05 (2026-10), estimado. Confianza según PDF: baja (requiere confirmación)</t>
  </si>
  <si>
    <t xml:space="preserve">Superfosfato Triple 46%</t>
  </si>
  <si>
    <t xml:space="preserve">estres_nutricional_fosforo</t>
  </si>
  <si>
    <t xml:space="preserve">Superfosfato triple 46 % P₂O₅</t>
  </si>
  <si>
    <t xml:space="preserve">Evitar vertidos al agua. En caso de lluvia, evitar que el producto llegue a cuerpos de agua y cubrirlo con material impermeable.</t>
  </si>
  <si>
    <t xml:space="preserve">Usar guantes, protección respiratoria y gafas. Asegurar ventilación adecuada o usar máscara si hay generación de polvo.</t>
  </si>
  <si>
    <t xml:space="preserve">Ethephon 48%</t>
  </si>
  <si>
    <t xml:space="preserve">acelerador_madurez</t>
  </si>
  <si>
    <t xml:space="preserve">madurez_temprana_diferencial</t>
  </si>
  <si>
    <t xml:space="preserve">Ácido 2-cloroetilfosfónico 48 % SL</t>
  </si>
  <si>
    <t xml:space="preserve">Tiidiazurón + Diurón</t>
  </si>
  <si>
    <t xml:space="preserve">defoliante</t>
  </si>
  <si>
    <t xml:space="preserve">Tidiazurón 0,4 % + Diurón 0,4 % WG</t>
  </si>
  <si>
    <t xml:space="preserve">Halauxifen-metil</t>
  </si>
  <si>
    <t xml:space="preserve">Elevore (7,14 g/100 ml)</t>
  </si>
  <si>
    <t xml:space="preserve">Soja</t>
  </si>
  <si>
    <t xml:space="preserve">Presiembra de soja (rama negra). Respetar 7 días entre aplicación y siembra. Agitar antes de usar.</t>
  </si>
  <si>
    <t xml:space="preserve">Nuevo — falta migración</t>
  </si>
  <si>
    <t xml:space="preserve">Haloxyfop-R-metil</t>
  </si>
  <si>
    <t xml:space="preserve">Galant Max (93,5 g/100 cm³)</t>
  </si>
  <si>
    <t xml:space="preserve">Algodón, soja</t>
  </si>
  <si>
    <t xml:space="preserve">Graminicida. No aplicar con falta de humedad prolongada ni con malezas marchitas, ni en horas de máxima insolación y temperatura. Lluvia luego de 2 h no afecta eficacia.</t>
  </si>
  <si>
    <t xml:space="preserve">Galant Max 93,5 g/100 cm³</t>
  </si>
  <si>
    <t xml:space="preserve">Diclosulam</t>
  </si>
  <si>
    <t xml:space="preserve">Spider (84 g/100 g, WG)</t>
  </si>
  <si>
    <t xml:space="preserve">Presiembra y preemergencia; residualidad hasta 45 días en soja. Requiere lluvia posterior. Familia ALS: verificar carryover al cultivo siguiente.</t>
  </si>
  <si>
    <t xml:space="preserve">Clopyralid</t>
  </si>
  <si>
    <t xml:space="preserve">Lontrel (47,5 g/100 cm³; 36 g/100 cm³ eq. ácido)</t>
  </si>
  <si>
    <t xml:space="preserve">Maíz, sorgo</t>
  </si>
  <si>
    <t xml:space="preserve">Hormonal. Evitar deriva sobre algodón, girasol, soja, papa, frutales, hortalizas. Se recomienda mezcla con 2,4-D.</t>
  </si>
  <si>
    <t xml:space="preserve">Picloram</t>
  </si>
  <si>
    <t xml:space="preserve">Tordon 24K (27,7 g/100 cm³; 24 g/100 cm³ eq. ácido)</t>
  </si>
  <si>
    <t xml:space="preserve">Maíz</t>
  </si>
  <si>
    <t xml:space="preserve">Hormonal. Evitar deriva hacia algodón, girasol, soja, papa, frutales, hortalizas, o sobre tierras listas para sembrar con ellos.</t>
  </si>
  <si>
    <t xml:space="preserve">Flumetsulam 12%</t>
  </si>
  <si>
    <t xml:space="preserve">Preside (12 g/100 cm³)</t>
  </si>
  <si>
    <t xml:space="preserve">Herbicida de hoja ancha, familia ALS. Verificar residualidad / cultivo siguiente en el marbete.</t>
  </si>
  <si>
    <t xml:space="preserve">Glifosato 54% Power Plus II / LT Platinum II</t>
  </si>
  <si>
    <t xml:space="preserve">Power Plus II / LT Platinum II (54 % eq. ac.)</t>
  </si>
  <si>
    <t xml:space="preserve">Líquido 54 % eq. ac. — Power Plus II / LT Platinum II</t>
  </si>
  <si>
    <t xml:space="preserve">Glifosato 57,5% Roundup Top</t>
  </si>
  <si>
    <t xml:space="preserve">Roundup Top (57,5 % eq. ac.)</t>
  </si>
  <si>
    <t xml:space="preserve">Líquido 57,5 % eq. ac. — Roundup Top</t>
  </si>
  <si>
    <t xml:space="preserve">Glifosato granulado 75,7% Glifomax GS</t>
  </si>
  <si>
    <t xml:space="preserve">Glifomax GS (75,7 %, granulado)</t>
  </si>
  <si>
    <t xml:space="preserve">Granulado 75,7 % — Glifomax GS</t>
  </si>
  <si>
    <t xml:space="preserve">Glifosato granulado 75,7% Power Maxx</t>
  </si>
  <si>
    <t xml:space="preserve">Power Maxx (75,7 %, granulado)</t>
  </si>
  <si>
    <t xml:space="preserve">Granulado 75,7 % — Power Maxx</t>
  </si>
  <si>
    <t xml:space="preserve">Glifosato granulado 79,2% Roundup Control Max</t>
  </si>
  <si>
    <t xml:space="preserve">Roundup Control Max (79,2 %, granulado)</t>
  </si>
  <si>
    <t xml:space="preserve">Granulado 79,2 % — Roundup Control Max</t>
  </si>
  <si>
    <t xml:space="preserve">2,4-D microemulsión 30%</t>
  </si>
  <si>
    <t xml:space="preserve">Genérico — 2,4-D microemulsión 30 %</t>
  </si>
  <si>
    <t xml:space="preserve">Microemulsión 30 % — genérico</t>
  </si>
  <si>
    <t xml:space="preserve">2,4-D 66,9% Empiric</t>
  </si>
  <si>
    <t xml:space="preserve">Empiric (2,4-D 66,9 %)</t>
  </si>
  <si>
    <t xml:space="preserve">66,9 % — Empiric</t>
  </si>
  <si>
    <t xml:space="preserve">2,4-D 97% Herbifen Advance</t>
  </si>
  <si>
    <t xml:space="preserve">Herbifen Advance (2,4-D 97 %)</t>
  </si>
  <si>
    <t xml:space="preserve">97 % — Herbifen Advance</t>
  </si>
  <si>
    <t xml:space="preserve">Atrazina 90 WG Gesaprim</t>
  </si>
  <si>
    <t xml:space="preserve">Gesaprim 90 WG (atrazina 90 %)</t>
  </si>
  <si>
    <t xml:space="preserve">90 WG — Gesaprim</t>
  </si>
  <si>
    <t xml:space="preserve">Haloxyfop 54%</t>
  </si>
  <si>
    <t xml:space="preserve">Haloxifop 54 % (genérico)</t>
  </si>
  <si>
    <t xml:space="preserve">54 % — genérico</t>
  </si>
  <si>
    <t xml:space="preserve">Notas:</t>
  </si>
  <si>
    <t xml:space="preserve">Dosis: cantidad de producto por hectárea tratada (el sistema la multiplica por el área de cada unidad de manejo para obtener el total de la orden de trabajo). Unidad: L/ha o kg/ha.</t>
  </si>
  <si>
    <t xml:space="preserve">El catálogo es por principio activo; la dosis y el precio corresponden al producto de referencia indicado en la columna H (la concentración cambia la dosis).</t>
  </si>
  <si>
    <t xml:space="preserve">Precio: por litro o por kg del producto de referencia, misma unidad que la dosis. Valor APROXIMADO, sujeto a mercado y tipo de cambio — indicar fecha y fuente en la columna I.</t>
  </si>
  <si>
    <t xml:space="preserve">Costo por ha = dosis × precio (fórmula); queda vacío hasta completar ambos. Celdas en azul = a completar a mano. Filas amarillas = productos nuevos, aún no están en la BD.</t>
  </si>
  <si>
    <t xml:space="preserve">Cultivos del sistema: solo soja, maíz, algodón y sorgo (CultivoEnum). Observaciones: tomadas de la ficha de la página de agroinsumos; verificar contra marbete SENASA antes de cargar restricciones.</t>
  </si>
  <si>
    <t xml:space="preserve">Origen del resto: migraciones 0015 (catálogo), 0018/0019 (restricciones y seguridad; 6 productos sin ficha confirmada quedan vacíos).</t>
  </si>
  <si>
    <t xml:space="preserve">Variantes: si un principio activo tiene productos de referencia con precios distintos, cada uno va en su propia fila. Columna O (Grupo de variantes) = nombre del principio activo del catálogo; columna P = qué distingue a la variante.</t>
  </si>
  <si>
    <t xml:space="preserve">El recomendador debe ofrecer todas las variantes de un mismo grupo e indicar la diferencia (concentración, dosis, precio y costo por ha). La dosis depende de la concentración, así que cada variante necesita la suya.</t>
  </si>
  <si>
    <t xml:space="preserve">Precios: camposimple.com.ar, USD por L o kg de producto (10/2026). Productos sin precio encontrado quedan vacíos.</t>
  </si>
  <si>
    <t xml:space="preserve">Precios del PDF de relevamiento HU-R4-05 (2026-10): cargados como estimados y sin verificar; la confianza (alta/media/baja) es la que declara el PDF. El detalle (presentación y fuente citada) está en el comentario de la celda del precio.</t>
  </si>
  <si>
    <t xml:space="preserve">Columna Q: cuando un producto tiene precio en camposimple y en el PDF con valores distintos, el precio de la fila es el de camposimple y la referencia del PDF queda anotada ahí.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</si>
</sst>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6"/>
    <col collapsed="false" customWidth="true" hidden="false" outlineLevel="0" max="8" min="8" style="1" width="26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1" min="11" style="1" width="50"/>
    <col collapsed="false" customWidth="true" hidden="false" outlineLevel="0" max="13" min="12" style="1" width="55"/>
    <col collapsed="false" customWidth="true" hidden="false" outlineLevel="0" max="15" min="14" style="1" width="22"/>
    <col collapsed="false" customWidth="true" hidden="false" outlineLevel="0" max="16" min="16" style="1" width="40"/>
    <col collapsed="false" customWidth="true" hidden="false" outlineLevel="0" max="17" min="17" style="0" width="70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69.75" hidden="false" customHeight="true" outlineLevel="0" collapsed="false">
      <c r="A2" s="3" t="s">
        <v>17</v>
      </c>
      <c r="B2" s="3" t="s">
        <v>18</v>
      </c>
      <c r="C2" s="3" t="s">
        <v>19</v>
      </c>
      <c r="D2" s="4"/>
      <c r="E2" s="5" t="s">
        <v>20</v>
      </c>
      <c r="F2" s="6" t="n">
        <v>5.5</v>
      </c>
      <c r="G2" s="7" t="str">
        <f aca="false">IF(AND(ISNUMBER(D2),ISNUMBER(F2)),D2*F2,"")</f>
        <v/>
      </c>
      <c r="H2" s="5" t="s">
        <v>21</v>
      </c>
      <c r="I2" s="5" t="s">
        <v>22</v>
      </c>
      <c r="J2" s="3"/>
      <c r="K2" s="3"/>
      <c r="L2" s="3" t="s">
        <v>23</v>
      </c>
      <c r="M2" s="3" t="s">
        <v>24</v>
      </c>
      <c r="N2" s="3" t="s">
        <v>25</v>
      </c>
      <c r="O2" s="5" t="s">
        <v>17</v>
      </c>
      <c r="P2" s="5" t="s">
        <v>26</v>
      </c>
      <c r="Q2" s="5" t="s">
        <v>27</v>
      </c>
    </row>
    <row r="3" customFormat="false" ht="69.75" hidden="false" customHeight="true" outlineLevel="0" collapsed="false">
      <c r="A3" s="3" t="s">
        <v>28</v>
      </c>
      <c r="B3" s="3" t="s">
        <v>18</v>
      </c>
      <c r="C3" s="3" t="s">
        <v>19</v>
      </c>
      <c r="D3" s="4"/>
      <c r="E3" s="5" t="s">
        <v>20</v>
      </c>
      <c r="F3" s="6" t="n">
        <v>4.95</v>
      </c>
      <c r="G3" s="7" t="str">
        <f aca="false">IF(AND(ISNUMBER(D3),ISNUMBER(F3)),D3*F3,"")</f>
        <v/>
      </c>
      <c r="H3" s="5" t="s">
        <v>29</v>
      </c>
      <c r="I3" s="5" t="s">
        <v>22</v>
      </c>
      <c r="J3" s="3"/>
      <c r="K3" s="3"/>
      <c r="L3" s="3" t="s">
        <v>30</v>
      </c>
      <c r="M3" s="3" t="s">
        <v>31</v>
      </c>
      <c r="N3" s="3" t="s">
        <v>25</v>
      </c>
      <c r="O3" s="5" t="s">
        <v>28</v>
      </c>
      <c r="P3" s="5" t="s">
        <v>32</v>
      </c>
      <c r="Q3" s="5" t="s">
        <v>33</v>
      </c>
    </row>
    <row r="4" customFormat="false" ht="69.75" hidden="false" customHeight="true" outlineLevel="0" collapsed="false">
      <c r="A4" s="3" t="s">
        <v>34</v>
      </c>
      <c r="B4" s="3" t="s">
        <v>18</v>
      </c>
      <c r="C4" s="3" t="s">
        <v>19</v>
      </c>
      <c r="D4" s="4"/>
      <c r="E4" s="5" t="s">
        <v>35</v>
      </c>
      <c r="F4" s="6" t="n">
        <v>6.5</v>
      </c>
      <c r="G4" s="7" t="str">
        <f aca="false">IF(AND(ISNUMBER(D4),ISNUMBER(F4)),D4*F4,"")</f>
        <v/>
      </c>
      <c r="H4" s="5" t="s">
        <v>36</v>
      </c>
      <c r="I4" s="5" t="s">
        <v>22</v>
      </c>
      <c r="J4" s="3"/>
      <c r="K4" s="3"/>
      <c r="L4" s="3" t="s">
        <v>37</v>
      </c>
      <c r="M4" s="3" t="s">
        <v>38</v>
      </c>
      <c r="N4" s="3" t="s">
        <v>25</v>
      </c>
      <c r="O4" s="5" t="s">
        <v>34</v>
      </c>
      <c r="P4" s="5" t="s">
        <v>39</v>
      </c>
      <c r="Q4" s="5" t="s">
        <v>40</v>
      </c>
    </row>
    <row r="5" customFormat="false" ht="69.75" hidden="false" customHeight="true" outlineLevel="0" collapsed="false">
      <c r="A5" s="3" t="s">
        <v>41</v>
      </c>
      <c r="B5" s="3" t="s">
        <v>18</v>
      </c>
      <c r="C5" s="3" t="s">
        <v>19</v>
      </c>
      <c r="D5" s="4"/>
      <c r="E5" s="5" t="s">
        <v>20</v>
      </c>
      <c r="F5" s="6" t="n">
        <v>6.9</v>
      </c>
      <c r="G5" s="7" t="str">
        <f aca="false">IF(AND(ISNUMBER(D5),ISNUMBER(F5)),D5*F5,"")</f>
        <v/>
      </c>
      <c r="H5" s="5" t="s">
        <v>42</v>
      </c>
      <c r="I5" s="5" t="s">
        <v>22</v>
      </c>
      <c r="J5" s="3"/>
      <c r="K5" s="3"/>
      <c r="L5" s="3" t="s">
        <v>43</v>
      </c>
      <c r="M5" s="3" t="s">
        <v>44</v>
      </c>
      <c r="N5" s="3" t="s">
        <v>25</v>
      </c>
      <c r="O5" s="5"/>
      <c r="P5" s="5"/>
      <c r="Q5" s="5" t="s">
        <v>45</v>
      </c>
    </row>
    <row r="6" customFormat="false" ht="39" hidden="false" customHeight="true" outlineLevel="0" collapsed="false">
      <c r="A6" s="3" t="s">
        <v>46</v>
      </c>
      <c r="B6" s="3" t="s">
        <v>18</v>
      </c>
      <c r="C6" s="3" t="s">
        <v>19</v>
      </c>
      <c r="D6" s="4"/>
      <c r="E6" s="5" t="s">
        <v>20</v>
      </c>
      <c r="F6" s="6" t="n">
        <v>22</v>
      </c>
      <c r="G6" s="7" t="str">
        <f aca="false">IF(AND(ISNUMBER(D6),ISNUMBER(F6)),D6*F6,"")</f>
        <v/>
      </c>
      <c r="H6" s="5" t="s">
        <v>47</v>
      </c>
      <c r="I6" s="5" t="s">
        <v>48</v>
      </c>
      <c r="J6" s="3"/>
      <c r="K6" s="3"/>
      <c r="L6" s="3" t="s">
        <v>49</v>
      </c>
      <c r="M6" s="3" t="s">
        <v>50</v>
      </c>
      <c r="N6" s="3" t="s">
        <v>25</v>
      </c>
      <c r="O6" s="5"/>
      <c r="P6" s="5"/>
      <c r="Q6" s="5"/>
    </row>
    <row r="7" customFormat="false" ht="39" hidden="false" customHeight="true" outlineLevel="0" collapsed="false">
      <c r="A7" s="3" t="s">
        <v>51</v>
      </c>
      <c r="B7" s="3" t="s">
        <v>52</v>
      </c>
      <c r="C7" s="3" t="s">
        <v>53</v>
      </c>
      <c r="D7" s="4"/>
      <c r="E7" s="5" t="s">
        <v>20</v>
      </c>
      <c r="F7" s="6" t="n">
        <v>28</v>
      </c>
      <c r="G7" s="7" t="str">
        <f aca="false">IF(AND(ISNUMBER(D7),ISNUMBER(F7)),D7*F7,"")</f>
        <v/>
      </c>
      <c r="H7" s="5" t="s">
        <v>54</v>
      </c>
      <c r="I7" s="5" t="s">
        <v>55</v>
      </c>
      <c r="J7" s="3"/>
      <c r="K7" s="3"/>
      <c r="L7" s="3" t="s">
        <v>56</v>
      </c>
      <c r="M7" s="3" t="s">
        <v>57</v>
      </c>
      <c r="N7" s="3" t="s">
        <v>25</v>
      </c>
      <c r="O7" s="5"/>
      <c r="P7" s="5"/>
      <c r="Q7" s="5"/>
    </row>
    <row r="8" customFormat="false" ht="39" hidden="false" customHeight="true" outlineLevel="0" collapsed="false">
      <c r="A8" s="3" t="s">
        <v>58</v>
      </c>
      <c r="B8" s="3" t="s">
        <v>52</v>
      </c>
      <c r="C8" s="3" t="s">
        <v>53</v>
      </c>
      <c r="D8" s="4"/>
      <c r="E8" s="5" t="s">
        <v>35</v>
      </c>
      <c r="F8" s="6" t="n">
        <v>48</v>
      </c>
      <c r="G8" s="7" t="str">
        <f aca="false">IF(AND(ISNUMBER(D8),ISNUMBER(F8)),D8*F8,"")</f>
        <v/>
      </c>
      <c r="H8" s="5" t="s">
        <v>59</v>
      </c>
      <c r="I8" s="5" t="s">
        <v>48</v>
      </c>
      <c r="J8" s="3"/>
      <c r="K8" s="3"/>
      <c r="L8" s="3" t="s">
        <v>60</v>
      </c>
      <c r="M8" s="3" t="s">
        <v>61</v>
      </c>
      <c r="N8" s="3" t="s">
        <v>25</v>
      </c>
      <c r="O8" s="5"/>
      <c r="P8" s="5"/>
      <c r="Q8" s="5"/>
    </row>
    <row r="9" customFormat="false" ht="39" hidden="false" customHeight="true" outlineLevel="0" collapsed="false">
      <c r="A9" s="3" t="s">
        <v>62</v>
      </c>
      <c r="B9" s="3" t="s">
        <v>52</v>
      </c>
      <c r="C9" s="3" t="s">
        <v>53</v>
      </c>
      <c r="D9" s="4"/>
      <c r="E9" s="5" t="s">
        <v>35</v>
      </c>
      <c r="F9" s="6" t="n">
        <v>5.5</v>
      </c>
      <c r="G9" s="7" t="str">
        <f aca="false">IF(AND(ISNUMBER(D9),ISNUMBER(F9)),D9*F9,"")</f>
        <v/>
      </c>
      <c r="H9" s="5" t="s">
        <v>63</v>
      </c>
      <c r="I9" s="5" t="s">
        <v>55</v>
      </c>
      <c r="J9" s="3"/>
      <c r="K9" s="3"/>
      <c r="L9" s="3" t="s">
        <v>64</v>
      </c>
      <c r="M9" s="3" t="s">
        <v>65</v>
      </c>
      <c r="N9" s="3" t="s">
        <v>25</v>
      </c>
      <c r="O9" s="5"/>
      <c r="P9" s="5"/>
      <c r="Q9" s="5"/>
    </row>
    <row r="10" customFormat="false" ht="39" hidden="false" customHeight="true" outlineLevel="0" collapsed="false">
      <c r="A10" s="3" t="s">
        <v>66</v>
      </c>
      <c r="B10" s="3" t="s">
        <v>52</v>
      </c>
      <c r="C10" s="3" t="s">
        <v>53</v>
      </c>
      <c r="D10" s="4"/>
      <c r="E10" s="5" t="s">
        <v>20</v>
      </c>
      <c r="F10" s="6" t="n">
        <v>18</v>
      </c>
      <c r="G10" s="7" t="str">
        <f aca="false">IF(AND(ISNUMBER(D10),ISNUMBER(F10)),D10*F10,"")</f>
        <v/>
      </c>
      <c r="H10" s="5" t="s">
        <v>67</v>
      </c>
      <c r="I10" s="5" t="s">
        <v>55</v>
      </c>
      <c r="J10" s="3"/>
      <c r="K10" s="3"/>
      <c r="L10" s="3" t="s">
        <v>68</v>
      </c>
      <c r="M10" s="3" t="s">
        <v>69</v>
      </c>
      <c r="N10" s="3" t="s">
        <v>25</v>
      </c>
      <c r="O10" s="5"/>
      <c r="P10" s="5"/>
      <c r="Q10" s="5"/>
    </row>
    <row r="11" customFormat="false" ht="51.75" hidden="false" customHeight="true" outlineLevel="0" collapsed="false">
      <c r="A11" s="3" t="s">
        <v>70</v>
      </c>
      <c r="B11" s="3" t="s">
        <v>52</v>
      </c>
      <c r="C11" s="3" t="s">
        <v>53</v>
      </c>
      <c r="D11" s="4"/>
      <c r="E11" s="5" t="s">
        <v>20</v>
      </c>
      <c r="F11" s="6" t="n">
        <v>10</v>
      </c>
      <c r="G11" s="7" t="str">
        <f aca="false">IF(AND(ISNUMBER(D11),ISNUMBER(F11)),D11*F11,"")</f>
        <v/>
      </c>
      <c r="H11" s="5" t="s">
        <v>71</v>
      </c>
      <c r="I11" s="5" t="s">
        <v>48</v>
      </c>
      <c r="J11" s="3"/>
      <c r="K11" s="3"/>
      <c r="L11" s="3" t="s">
        <v>72</v>
      </c>
      <c r="M11" s="3" t="s">
        <v>73</v>
      </c>
      <c r="N11" s="3" t="s">
        <v>25</v>
      </c>
      <c r="O11" s="5"/>
      <c r="P11" s="5"/>
      <c r="Q11" s="5"/>
    </row>
    <row r="12" customFormat="false" ht="15" hidden="false" customHeight="true" outlineLevel="0" collapsed="false">
      <c r="A12" s="3" t="s">
        <v>74</v>
      </c>
      <c r="B12" s="3" t="s">
        <v>75</v>
      </c>
      <c r="C12" s="3" t="s">
        <v>76</v>
      </c>
      <c r="D12" s="4"/>
      <c r="E12" s="5" t="s">
        <v>20</v>
      </c>
      <c r="F12" s="6" t="n">
        <v>6.5</v>
      </c>
      <c r="G12" s="7" t="str">
        <f aca="false">IF(AND(ISNUMBER(D12),ISNUMBER(F12)),D12*F12,"")</f>
        <v/>
      </c>
      <c r="H12" s="5" t="s">
        <v>77</v>
      </c>
      <c r="I12" s="5" t="s">
        <v>55</v>
      </c>
      <c r="J12" s="3"/>
      <c r="K12" s="3"/>
      <c r="L12" s="3"/>
      <c r="M12" s="3"/>
      <c r="N12" s="3" t="s">
        <v>25</v>
      </c>
      <c r="O12" s="5"/>
      <c r="P12" s="5"/>
      <c r="Q12" s="5"/>
    </row>
    <row r="13" customFormat="false" ht="64.5" hidden="false" customHeight="true" outlineLevel="0" collapsed="false">
      <c r="A13" s="3" t="s">
        <v>78</v>
      </c>
      <c r="B13" s="3" t="s">
        <v>75</v>
      </c>
      <c r="C13" s="3" t="s">
        <v>76</v>
      </c>
      <c r="D13" s="4"/>
      <c r="E13" s="5" t="s">
        <v>20</v>
      </c>
      <c r="F13" s="6" t="n">
        <v>25</v>
      </c>
      <c r="G13" s="7" t="str">
        <f aca="false">IF(AND(ISNUMBER(D13),ISNUMBER(F13)),D13*F13,"")</f>
        <v/>
      </c>
      <c r="H13" s="5" t="s">
        <v>79</v>
      </c>
      <c r="I13" s="5" t="s">
        <v>55</v>
      </c>
      <c r="J13" s="3"/>
      <c r="K13" s="3"/>
      <c r="L13" s="3" t="s">
        <v>80</v>
      </c>
      <c r="M13" s="3" t="s">
        <v>81</v>
      </c>
      <c r="N13" s="3" t="s">
        <v>25</v>
      </c>
      <c r="O13" s="5"/>
      <c r="P13" s="5"/>
      <c r="Q13" s="5"/>
    </row>
    <row r="14" customFormat="false" ht="64.5" hidden="false" customHeight="true" outlineLevel="0" collapsed="false">
      <c r="A14" s="3" t="s">
        <v>82</v>
      </c>
      <c r="B14" s="3" t="s">
        <v>75</v>
      </c>
      <c r="C14" s="3" t="s">
        <v>76</v>
      </c>
      <c r="D14" s="4"/>
      <c r="E14" s="5" t="s">
        <v>20</v>
      </c>
      <c r="F14" s="6" t="n">
        <v>30</v>
      </c>
      <c r="G14" s="7" t="str">
        <f aca="false">IF(AND(ISNUMBER(D14),ISNUMBER(F14)),D14*F14,"")</f>
        <v/>
      </c>
      <c r="H14" s="5" t="s">
        <v>83</v>
      </c>
      <c r="I14" s="5" t="s">
        <v>55</v>
      </c>
      <c r="J14" s="3"/>
      <c r="K14" s="3"/>
      <c r="L14" s="3" t="s">
        <v>84</v>
      </c>
      <c r="M14" s="3" t="s">
        <v>85</v>
      </c>
      <c r="N14" s="3" t="s">
        <v>25</v>
      </c>
      <c r="O14" s="5"/>
      <c r="P14" s="5"/>
      <c r="Q14" s="5"/>
    </row>
    <row r="15" customFormat="false" ht="64.5" hidden="false" customHeight="true" outlineLevel="0" collapsed="false">
      <c r="A15" s="3" t="s">
        <v>86</v>
      </c>
      <c r="B15" s="3" t="s">
        <v>75</v>
      </c>
      <c r="C15" s="3" t="s">
        <v>76</v>
      </c>
      <c r="D15" s="4"/>
      <c r="E15" s="5" t="s">
        <v>20</v>
      </c>
      <c r="F15" s="6" t="n">
        <v>95</v>
      </c>
      <c r="G15" s="7" t="str">
        <f aca="false">IF(AND(ISNUMBER(D15),ISNUMBER(F15)),D15*F15,"")</f>
        <v/>
      </c>
      <c r="H15" s="5" t="s">
        <v>87</v>
      </c>
      <c r="I15" s="5" t="s">
        <v>48</v>
      </c>
      <c r="J15" s="3"/>
      <c r="K15" s="3"/>
      <c r="L15" s="3" t="s">
        <v>88</v>
      </c>
      <c r="M15" s="3" t="s">
        <v>89</v>
      </c>
      <c r="N15" s="3" t="s">
        <v>25</v>
      </c>
      <c r="O15" s="5"/>
      <c r="P15" s="5"/>
      <c r="Q15" s="5"/>
    </row>
    <row r="16" customFormat="false" ht="15" hidden="false" customHeight="true" outlineLevel="0" collapsed="false">
      <c r="A16" s="3" t="s">
        <v>90</v>
      </c>
      <c r="B16" s="3" t="s">
        <v>75</v>
      </c>
      <c r="C16" s="3" t="s">
        <v>76</v>
      </c>
      <c r="D16" s="4"/>
      <c r="E16" s="5" t="s">
        <v>35</v>
      </c>
      <c r="F16" s="6" t="n">
        <v>45</v>
      </c>
      <c r="G16" s="7" t="str">
        <f aca="false">IF(AND(ISNUMBER(D16),ISNUMBER(F16)),D16*F16,"")</f>
        <v/>
      </c>
      <c r="H16" s="5" t="s">
        <v>91</v>
      </c>
      <c r="I16" s="5" t="s">
        <v>55</v>
      </c>
      <c r="J16" s="3"/>
      <c r="K16" s="3"/>
      <c r="L16" s="3"/>
      <c r="M16" s="3"/>
      <c r="N16" s="3" t="s">
        <v>25</v>
      </c>
      <c r="O16" s="5"/>
      <c r="P16" s="5"/>
      <c r="Q16" s="5"/>
    </row>
    <row r="17" customFormat="false" ht="64.5" hidden="false" customHeight="true" outlineLevel="0" collapsed="false">
      <c r="A17" s="3" t="s">
        <v>92</v>
      </c>
      <c r="B17" s="3" t="s">
        <v>93</v>
      </c>
      <c r="C17" s="3" t="s">
        <v>94</v>
      </c>
      <c r="D17" s="4"/>
      <c r="E17" s="5" t="s">
        <v>35</v>
      </c>
      <c r="F17" s="6" t="n">
        <v>0.45</v>
      </c>
      <c r="G17" s="7" t="str">
        <f aca="false">IF(AND(ISNUMBER(D17),ISNUMBER(F17)),D17*F17,"")</f>
        <v/>
      </c>
      <c r="H17" s="5" t="s">
        <v>95</v>
      </c>
      <c r="I17" s="5" t="s">
        <v>55</v>
      </c>
      <c r="J17" s="3"/>
      <c r="K17" s="3"/>
      <c r="L17" s="3" t="s">
        <v>96</v>
      </c>
      <c r="M17" s="3" t="s">
        <v>97</v>
      </c>
      <c r="N17" s="3" t="s">
        <v>25</v>
      </c>
      <c r="O17" s="5"/>
      <c r="P17" s="5"/>
      <c r="Q17" s="5"/>
    </row>
    <row r="18" customFormat="false" ht="15" hidden="false" customHeight="true" outlineLevel="0" collapsed="false">
      <c r="A18" s="3" t="s">
        <v>98</v>
      </c>
      <c r="B18" s="3" t="s">
        <v>99</v>
      </c>
      <c r="C18" s="3" t="s">
        <v>100</v>
      </c>
      <c r="D18" s="4"/>
      <c r="E18" s="5" t="s">
        <v>35</v>
      </c>
      <c r="F18" s="6" t="n">
        <v>0.8</v>
      </c>
      <c r="G18" s="7" t="str">
        <f aca="false">IF(AND(ISNUMBER(D18),ISNUMBER(F18)),D18*F18,"")</f>
        <v/>
      </c>
      <c r="H18" s="5" t="s">
        <v>101</v>
      </c>
      <c r="I18" s="5" t="s">
        <v>48</v>
      </c>
      <c r="J18" s="3"/>
      <c r="K18" s="3"/>
      <c r="L18" s="3"/>
      <c r="M18" s="3"/>
      <c r="N18" s="3" t="s">
        <v>25</v>
      </c>
      <c r="O18" s="5"/>
      <c r="P18" s="5"/>
      <c r="Q18" s="5"/>
    </row>
    <row r="19" customFormat="false" ht="15" hidden="false" customHeight="true" outlineLevel="0" collapsed="false">
      <c r="A19" s="3" t="s">
        <v>102</v>
      </c>
      <c r="B19" s="3" t="s">
        <v>99</v>
      </c>
      <c r="C19" s="3" t="s">
        <v>100</v>
      </c>
      <c r="D19" s="4"/>
      <c r="E19" s="5" t="s">
        <v>20</v>
      </c>
      <c r="F19" s="6" t="n">
        <v>4.2</v>
      </c>
      <c r="G19" s="7" t="str">
        <f aca="false">IF(AND(ISNUMBER(D19),ISNUMBER(F19)),D19*F19,"")</f>
        <v/>
      </c>
      <c r="H19" s="5" t="s">
        <v>103</v>
      </c>
      <c r="I19" s="5" t="s">
        <v>104</v>
      </c>
      <c r="J19" s="3"/>
      <c r="K19" s="3"/>
      <c r="L19" s="3"/>
      <c r="M19" s="3"/>
      <c r="N19" s="3" t="s">
        <v>25</v>
      </c>
      <c r="O19" s="5"/>
      <c r="P19" s="5"/>
      <c r="Q19" s="5"/>
    </row>
    <row r="20" customFormat="false" ht="39" hidden="false" customHeight="true" outlineLevel="0" collapsed="false">
      <c r="A20" s="3" t="s">
        <v>105</v>
      </c>
      <c r="B20" s="3" t="s">
        <v>93</v>
      </c>
      <c r="C20" s="3" t="s">
        <v>106</v>
      </c>
      <c r="D20" s="4"/>
      <c r="E20" s="5" t="s">
        <v>35</v>
      </c>
      <c r="F20" s="6" t="n">
        <v>0.5</v>
      </c>
      <c r="G20" s="7" t="str">
        <f aca="false">IF(AND(ISNUMBER(D20),ISNUMBER(F20)),D20*F20,"")</f>
        <v/>
      </c>
      <c r="H20" s="5" t="s">
        <v>107</v>
      </c>
      <c r="I20" s="5" t="s">
        <v>55</v>
      </c>
      <c r="J20" s="3"/>
      <c r="K20" s="3"/>
      <c r="L20" s="3" t="s">
        <v>108</v>
      </c>
      <c r="M20" s="3" t="s">
        <v>109</v>
      </c>
      <c r="N20" s="3" t="s">
        <v>25</v>
      </c>
      <c r="O20" s="5"/>
      <c r="P20" s="5"/>
      <c r="Q20" s="5"/>
    </row>
    <row r="21" customFormat="false" ht="15" hidden="false" customHeight="true" outlineLevel="0" collapsed="false">
      <c r="A21" s="3" t="s">
        <v>110</v>
      </c>
      <c r="B21" s="3" t="s">
        <v>111</v>
      </c>
      <c r="C21" s="3" t="s">
        <v>112</v>
      </c>
      <c r="D21" s="4"/>
      <c r="E21" s="5" t="s">
        <v>20</v>
      </c>
      <c r="F21" s="6" t="n">
        <v>28</v>
      </c>
      <c r="G21" s="7" t="str">
        <f aca="false">IF(AND(ISNUMBER(D21),ISNUMBER(F21)),D21*F21,"")</f>
        <v/>
      </c>
      <c r="H21" s="5" t="s">
        <v>113</v>
      </c>
      <c r="I21" s="5" t="s">
        <v>48</v>
      </c>
      <c r="J21" s="3"/>
      <c r="K21" s="3"/>
      <c r="L21" s="3"/>
      <c r="M21" s="3"/>
      <c r="N21" s="3" t="s">
        <v>25</v>
      </c>
      <c r="O21" s="5"/>
      <c r="P21" s="5"/>
      <c r="Q21" s="5"/>
    </row>
    <row r="22" customFormat="false" ht="15" hidden="false" customHeight="true" outlineLevel="0" collapsed="false">
      <c r="A22" s="3" t="s">
        <v>114</v>
      </c>
      <c r="B22" s="3" t="s">
        <v>115</v>
      </c>
      <c r="C22" s="3" t="s">
        <v>112</v>
      </c>
      <c r="D22" s="4"/>
      <c r="E22" s="5" t="s">
        <v>35</v>
      </c>
      <c r="F22" s="6" t="n">
        <v>38</v>
      </c>
      <c r="G22" s="7" t="str">
        <f aca="false">IF(AND(ISNUMBER(D22),ISNUMBER(F22)),D22*F22,"")</f>
        <v/>
      </c>
      <c r="H22" s="5" t="s">
        <v>116</v>
      </c>
      <c r="I22" s="5" t="s">
        <v>48</v>
      </c>
      <c r="J22" s="3"/>
      <c r="K22" s="3"/>
      <c r="L22" s="3"/>
      <c r="M22" s="3"/>
      <c r="N22" s="3" t="s">
        <v>25</v>
      </c>
      <c r="O22" s="5"/>
      <c r="P22" s="5"/>
      <c r="Q22" s="5"/>
    </row>
    <row r="23" customFormat="false" ht="26.25" hidden="false" customHeight="true" outlineLevel="0" collapsed="false">
      <c r="A23" s="8" t="s">
        <v>117</v>
      </c>
      <c r="B23" s="8" t="s">
        <v>18</v>
      </c>
      <c r="C23" s="8" t="s">
        <v>19</v>
      </c>
      <c r="D23" s="9" t="n">
        <v>0.12</v>
      </c>
      <c r="E23" s="10" t="s">
        <v>20</v>
      </c>
      <c r="F23" s="11"/>
      <c r="G23" s="12" t="str">
        <f aca="false">IF(AND(ISNUMBER(D23),ISNUMBER(F23)),D23*F23,"")</f>
        <v/>
      </c>
      <c r="H23" s="10" t="s">
        <v>118</v>
      </c>
      <c r="I23" s="10"/>
      <c r="J23" s="8" t="s">
        <v>119</v>
      </c>
      <c r="K23" s="8" t="s">
        <v>120</v>
      </c>
      <c r="L23" s="8"/>
      <c r="M23" s="8"/>
      <c r="N23" s="8" t="s">
        <v>121</v>
      </c>
      <c r="O23" s="10"/>
      <c r="P23" s="10"/>
      <c r="Q23" s="10"/>
    </row>
    <row r="24" customFormat="false" ht="51.75" hidden="false" customHeight="true" outlineLevel="0" collapsed="false">
      <c r="A24" s="8" t="s">
        <v>122</v>
      </c>
      <c r="B24" s="8" t="s">
        <v>18</v>
      </c>
      <c r="C24" s="8" t="s">
        <v>19</v>
      </c>
      <c r="D24" s="9" t="n">
        <v>0.07</v>
      </c>
      <c r="E24" s="10" t="s">
        <v>20</v>
      </c>
      <c r="F24" s="11"/>
      <c r="G24" s="12" t="str">
        <f aca="false">IF(AND(ISNUMBER(D24),ISNUMBER(F24)),D24*F24,"")</f>
        <v/>
      </c>
      <c r="H24" s="10" t="s">
        <v>123</v>
      </c>
      <c r="I24" s="10"/>
      <c r="J24" s="8" t="s">
        <v>124</v>
      </c>
      <c r="K24" s="8" t="s">
        <v>125</v>
      </c>
      <c r="L24" s="8"/>
      <c r="M24" s="8"/>
      <c r="N24" s="8" t="s">
        <v>121</v>
      </c>
      <c r="O24" s="10" t="s">
        <v>122</v>
      </c>
      <c r="P24" s="10" t="s">
        <v>126</v>
      </c>
      <c r="Q24" s="10"/>
    </row>
    <row r="25" customFormat="false" ht="39" hidden="false" customHeight="true" outlineLevel="0" collapsed="false">
      <c r="A25" s="8" t="s">
        <v>127</v>
      </c>
      <c r="B25" s="8" t="s">
        <v>18</v>
      </c>
      <c r="C25" s="8" t="s">
        <v>19</v>
      </c>
      <c r="D25" s="9" t="n">
        <v>0.03</v>
      </c>
      <c r="E25" s="10" t="s">
        <v>35</v>
      </c>
      <c r="F25" s="11"/>
      <c r="G25" s="12" t="str">
        <f aca="false">IF(AND(ISNUMBER(D25),ISNUMBER(F25)),D25*F25,"")</f>
        <v/>
      </c>
      <c r="H25" s="10" t="s">
        <v>128</v>
      </c>
      <c r="I25" s="10"/>
      <c r="J25" s="8" t="s">
        <v>119</v>
      </c>
      <c r="K25" s="8" t="s">
        <v>129</v>
      </c>
      <c r="L25" s="8"/>
      <c r="M25" s="8"/>
      <c r="N25" s="8" t="s">
        <v>121</v>
      </c>
      <c r="O25" s="10"/>
      <c r="P25" s="10"/>
      <c r="Q25" s="10"/>
    </row>
    <row r="26" customFormat="false" ht="39" hidden="false" customHeight="true" outlineLevel="0" collapsed="false">
      <c r="A26" s="8" t="s">
        <v>130</v>
      </c>
      <c r="B26" s="8" t="s">
        <v>18</v>
      </c>
      <c r="C26" s="8" t="s">
        <v>19</v>
      </c>
      <c r="D26" s="9" t="n">
        <v>0.15</v>
      </c>
      <c r="E26" s="10" t="s">
        <v>20</v>
      </c>
      <c r="F26" s="11"/>
      <c r="G26" s="12" t="str">
        <f aca="false">IF(AND(ISNUMBER(D26),ISNUMBER(F26)),D26*F26,"")</f>
        <v/>
      </c>
      <c r="H26" s="10" t="s">
        <v>131</v>
      </c>
      <c r="I26" s="10"/>
      <c r="J26" s="8" t="s">
        <v>132</v>
      </c>
      <c r="K26" s="8" t="s">
        <v>133</v>
      </c>
      <c r="L26" s="8"/>
      <c r="M26" s="8"/>
      <c r="N26" s="8" t="s">
        <v>121</v>
      </c>
      <c r="O26" s="10"/>
      <c r="P26" s="10"/>
      <c r="Q26" s="10"/>
    </row>
    <row r="27" customFormat="false" ht="39" hidden="false" customHeight="true" outlineLevel="0" collapsed="false">
      <c r="A27" s="8" t="s">
        <v>134</v>
      </c>
      <c r="B27" s="8" t="s">
        <v>18</v>
      </c>
      <c r="C27" s="8" t="s">
        <v>19</v>
      </c>
      <c r="D27" s="9" t="n">
        <v>0.1125</v>
      </c>
      <c r="E27" s="10" t="s">
        <v>20</v>
      </c>
      <c r="F27" s="11"/>
      <c r="G27" s="12" t="str">
        <f aca="false">IF(AND(ISNUMBER(D27),ISNUMBER(F27)),D27*F27,"")</f>
        <v/>
      </c>
      <c r="H27" s="10" t="s">
        <v>135</v>
      </c>
      <c r="I27" s="10"/>
      <c r="J27" s="8" t="s">
        <v>136</v>
      </c>
      <c r="K27" s="8" t="s">
        <v>137</v>
      </c>
      <c r="L27" s="8"/>
      <c r="M27" s="8"/>
      <c r="N27" s="8" t="s">
        <v>121</v>
      </c>
      <c r="O27" s="10"/>
      <c r="P27" s="10"/>
      <c r="Q27" s="10"/>
    </row>
    <row r="28" customFormat="false" ht="26.25" hidden="false" customHeight="true" outlineLevel="0" collapsed="false">
      <c r="A28" s="8" t="s">
        <v>138</v>
      </c>
      <c r="B28" s="8" t="s">
        <v>18</v>
      </c>
      <c r="C28" s="8" t="s">
        <v>19</v>
      </c>
      <c r="D28" s="9" t="n">
        <v>1</v>
      </c>
      <c r="E28" s="10" t="s">
        <v>20</v>
      </c>
      <c r="F28" s="11"/>
      <c r="G28" s="12" t="str">
        <f aca="false">IF(AND(ISNUMBER(D28),ISNUMBER(F28)),D28*F28,"")</f>
        <v/>
      </c>
      <c r="H28" s="10" t="s">
        <v>139</v>
      </c>
      <c r="I28" s="10"/>
      <c r="J28" s="8" t="s">
        <v>119</v>
      </c>
      <c r="K28" s="8" t="s">
        <v>140</v>
      </c>
      <c r="L28" s="8"/>
      <c r="M28" s="8"/>
      <c r="N28" s="8" t="s">
        <v>121</v>
      </c>
      <c r="O28" s="10"/>
      <c r="P28" s="10"/>
      <c r="Q28" s="10"/>
    </row>
    <row r="29" customFormat="false" ht="39.75" hidden="false" customHeight="true" outlineLevel="0" collapsed="false">
      <c r="A29" s="8" t="s">
        <v>141</v>
      </c>
      <c r="B29" s="8" t="s">
        <v>18</v>
      </c>
      <c r="C29" s="8" t="s">
        <v>19</v>
      </c>
      <c r="D29" s="9"/>
      <c r="E29" s="10" t="s">
        <v>20</v>
      </c>
      <c r="F29" s="11" t="n">
        <v>5.9</v>
      </c>
      <c r="G29" s="12" t="str">
        <f aca="false">IF(AND(ISNUMBER(D29),ISNUMBER(F29)),D29*F29,"")</f>
        <v/>
      </c>
      <c r="H29" s="10" t="s">
        <v>142</v>
      </c>
      <c r="I29" s="10" t="s">
        <v>22</v>
      </c>
      <c r="J29" s="8"/>
      <c r="K29" s="8"/>
      <c r="L29" s="8"/>
      <c r="M29" s="8"/>
      <c r="N29" s="8" t="s">
        <v>121</v>
      </c>
      <c r="O29" s="10" t="s">
        <v>17</v>
      </c>
      <c r="P29" s="10" t="s">
        <v>143</v>
      </c>
      <c r="Q29" s="10"/>
    </row>
    <row r="30" customFormat="false" ht="39.75" hidden="false" customHeight="true" outlineLevel="0" collapsed="false">
      <c r="A30" s="8" t="s">
        <v>144</v>
      </c>
      <c r="B30" s="8" t="s">
        <v>18</v>
      </c>
      <c r="C30" s="8" t="s">
        <v>19</v>
      </c>
      <c r="D30" s="9"/>
      <c r="E30" s="10" t="s">
        <v>20</v>
      </c>
      <c r="F30" s="11" t="n">
        <v>6.7</v>
      </c>
      <c r="G30" s="12" t="str">
        <f aca="false">IF(AND(ISNUMBER(D30),ISNUMBER(F30)),D30*F30,"")</f>
        <v/>
      </c>
      <c r="H30" s="10" t="s">
        <v>145</v>
      </c>
      <c r="I30" s="10" t="s">
        <v>22</v>
      </c>
      <c r="J30" s="8"/>
      <c r="K30" s="8"/>
      <c r="L30" s="8"/>
      <c r="M30" s="8"/>
      <c r="N30" s="8" t="s">
        <v>121</v>
      </c>
      <c r="O30" s="10" t="s">
        <v>17</v>
      </c>
      <c r="P30" s="10" t="s">
        <v>146</v>
      </c>
      <c r="Q30" s="10"/>
    </row>
    <row r="31" customFormat="false" ht="39.75" hidden="false" customHeight="true" outlineLevel="0" collapsed="false">
      <c r="A31" s="8" t="s">
        <v>147</v>
      </c>
      <c r="B31" s="8" t="s">
        <v>18</v>
      </c>
      <c r="C31" s="8" t="s">
        <v>19</v>
      </c>
      <c r="D31" s="9"/>
      <c r="E31" s="10" t="s">
        <v>35</v>
      </c>
      <c r="F31" s="11" t="n">
        <v>6.7</v>
      </c>
      <c r="G31" s="12" t="str">
        <f aca="false">IF(AND(ISNUMBER(D31),ISNUMBER(F31)),D31*F31,"")</f>
        <v/>
      </c>
      <c r="H31" s="10" t="s">
        <v>148</v>
      </c>
      <c r="I31" s="10" t="s">
        <v>22</v>
      </c>
      <c r="J31" s="8"/>
      <c r="K31" s="8"/>
      <c r="L31" s="8"/>
      <c r="M31" s="8"/>
      <c r="N31" s="8" t="s">
        <v>121</v>
      </c>
      <c r="O31" s="10" t="s">
        <v>17</v>
      </c>
      <c r="P31" s="10" t="s">
        <v>149</v>
      </c>
      <c r="Q31" s="10"/>
    </row>
    <row r="32" customFormat="false" ht="39.75" hidden="false" customHeight="true" outlineLevel="0" collapsed="false">
      <c r="A32" s="8" t="s">
        <v>150</v>
      </c>
      <c r="B32" s="8" t="s">
        <v>18</v>
      </c>
      <c r="C32" s="8" t="s">
        <v>19</v>
      </c>
      <c r="D32" s="9"/>
      <c r="E32" s="10" t="s">
        <v>35</v>
      </c>
      <c r="F32" s="11" t="n">
        <v>7.3</v>
      </c>
      <c r="G32" s="12" t="str">
        <f aca="false">IF(AND(ISNUMBER(D32),ISNUMBER(F32)),D32*F32,"")</f>
        <v/>
      </c>
      <c r="H32" s="10" t="s">
        <v>151</v>
      </c>
      <c r="I32" s="10" t="s">
        <v>22</v>
      </c>
      <c r="J32" s="8"/>
      <c r="K32" s="8"/>
      <c r="L32" s="8"/>
      <c r="M32" s="8"/>
      <c r="N32" s="8" t="s">
        <v>121</v>
      </c>
      <c r="O32" s="10" t="s">
        <v>17</v>
      </c>
      <c r="P32" s="10" t="s">
        <v>152</v>
      </c>
      <c r="Q32" s="10"/>
    </row>
    <row r="33" customFormat="false" ht="39.75" hidden="false" customHeight="true" outlineLevel="0" collapsed="false">
      <c r="A33" s="8" t="s">
        <v>153</v>
      </c>
      <c r="B33" s="8" t="s">
        <v>18</v>
      </c>
      <c r="C33" s="8" t="s">
        <v>19</v>
      </c>
      <c r="D33" s="9"/>
      <c r="E33" s="10" t="s">
        <v>35</v>
      </c>
      <c r="F33" s="11" t="n">
        <v>8.5</v>
      </c>
      <c r="G33" s="12" t="str">
        <f aca="false">IF(AND(ISNUMBER(D33),ISNUMBER(F33)),D33*F33,"")</f>
        <v/>
      </c>
      <c r="H33" s="10" t="s">
        <v>154</v>
      </c>
      <c r="I33" s="10" t="s">
        <v>22</v>
      </c>
      <c r="J33" s="8"/>
      <c r="K33" s="8"/>
      <c r="L33" s="8"/>
      <c r="M33" s="8"/>
      <c r="N33" s="8" t="s">
        <v>121</v>
      </c>
      <c r="O33" s="10" t="s">
        <v>17</v>
      </c>
      <c r="P33" s="10" t="s">
        <v>155</v>
      </c>
      <c r="Q33" s="10"/>
    </row>
    <row r="34" customFormat="false" ht="39.75" hidden="false" customHeight="true" outlineLevel="0" collapsed="false">
      <c r="A34" s="8" t="s">
        <v>156</v>
      </c>
      <c r="B34" s="8" t="s">
        <v>18</v>
      </c>
      <c r="C34" s="8" t="s">
        <v>19</v>
      </c>
      <c r="D34" s="9"/>
      <c r="E34" s="10" t="s">
        <v>20</v>
      </c>
      <c r="F34" s="11" t="n">
        <v>3.8</v>
      </c>
      <c r="G34" s="12" t="str">
        <f aca="false">IF(AND(ISNUMBER(D34),ISNUMBER(F34)),D34*F34,"")</f>
        <v/>
      </c>
      <c r="H34" s="10" t="s">
        <v>157</v>
      </c>
      <c r="I34" s="10" t="s">
        <v>22</v>
      </c>
      <c r="J34" s="8"/>
      <c r="K34" s="8"/>
      <c r="L34" s="8"/>
      <c r="M34" s="8"/>
      <c r="N34" s="8" t="s">
        <v>121</v>
      </c>
      <c r="O34" s="10" t="s">
        <v>28</v>
      </c>
      <c r="P34" s="10" t="s">
        <v>158</v>
      </c>
      <c r="Q34" s="10"/>
    </row>
    <row r="35" customFormat="false" ht="39.75" hidden="false" customHeight="true" outlineLevel="0" collapsed="false">
      <c r="A35" s="8" t="s">
        <v>159</v>
      </c>
      <c r="B35" s="8" t="s">
        <v>18</v>
      </c>
      <c r="C35" s="8" t="s">
        <v>19</v>
      </c>
      <c r="D35" s="9"/>
      <c r="E35" s="10" t="s">
        <v>20</v>
      </c>
      <c r="F35" s="11" t="n">
        <v>5.5</v>
      </c>
      <c r="G35" s="12" t="str">
        <f aca="false">IF(AND(ISNUMBER(D35),ISNUMBER(F35)),D35*F35,"")</f>
        <v/>
      </c>
      <c r="H35" s="10" t="s">
        <v>160</v>
      </c>
      <c r="I35" s="10" t="s">
        <v>22</v>
      </c>
      <c r="J35" s="8"/>
      <c r="K35" s="8"/>
      <c r="L35" s="8"/>
      <c r="M35" s="8"/>
      <c r="N35" s="8" t="s">
        <v>121</v>
      </c>
      <c r="O35" s="10" t="s">
        <v>28</v>
      </c>
      <c r="P35" s="10" t="s">
        <v>161</v>
      </c>
      <c r="Q35" s="10"/>
    </row>
    <row r="36" customFormat="false" ht="39.75" hidden="false" customHeight="true" outlineLevel="0" collapsed="false">
      <c r="A36" s="8" t="s">
        <v>162</v>
      </c>
      <c r="B36" s="8" t="s">
        <v>18</v>
      </c>
      <c r="C36" s="8" t="s">
        <v>19</v>
      </c>
      <c r="D36" s="9"/>
      <c r="E36" s="10" t="s">
        <v>20</v>
      </c>
      <c r="F36" s="11" t="n">
        <v>6</v>
      </c>
      <c r="G36" s="12" t="str">
        <f aca="false">IF(AND(ISNUMBER(D36),ISNUMBER(F36)),D36*F36,"")</f>
        <v/>
      </c>
      <c r="H36" s="10" t="s">
        <v>163</v>
      </c>
      <c r="I36" s="10" t="s">
        <v>22</v>
      </c>
      <c r="J36" s="8"/>
      <c r="K36" s="8"/>
      <c r="L36" s="8"/>
      <c r="M36" s="8"/>
      <c r="N36" s="8" t="s">
        <v>121</v>
      </c>
      <c r="O36" s="10" t="s">
        <v>28</v>
      </c>
      <c r="P36" s="10" t="s">
        <v>164</v>
      </c>
      <c r="Q36" s="10"/>
    </row>
    <row r="37" customFormat="false" ht="39.75" hidden="false" customHeight="true" outlineLevel="0" collapsed="false">
      <c r="A37" s="8" t="s">
        <v>165</v>
      </c>
      <c r="B37" s="8" t="s">
        <v>18</v>
      </c>
      <c r="C37" s="8" t="s">
        <v>19</v>
      </c>
      <c r="D37" s="9"/>
      <c r="E37" s="10" t="s">
        <v>35</v>
      </c>
      <c r="F37" s="11" t="n">
        <v>7.8</v>
      </c>
      <c r="G37" s="12" t="str">
        <f aca="false">IF(AND(ISNUMBER(D37),ISNUMBER(F37)),D37*F37,"")</f>
        <v/>
      </c>
      <c r="H37" s="10" t="s">
        <v>166</v>
      </c>
      <c r="I37" s="10" t="s">
        <v>22</v>
      </c>
      <c r="J37" s="8"/>
      <c r="K37" s="8"/>
      <c r="L37" s="8"/>
      <c r="M37" s="8"/>
      <c r="N37" s="8" t="s">
        <v>121</v>
      </c>
      <c r="O37" s="10" t="s">
        <v>34</v>
      </c>
      <c r="P37" s="10" t="s">
        <v>167</v>
      </c>
      <c r="Q37" s="10"/>
    </row>
    <row r="38" customFormat="false" ht="39.75" hidden="false" customHeight="true" outlineLevel="0" collapsed="false">
      <c r="A38" s="8" t="s">
        <v>168</v>
      </c>
      <c r="B38" s="8" t="s">
        <v>18</v>
      </c>
      <c r="C38" s="8" t="s">
        <v>19</v>
      </c>
      <c r="D38" s="9"/>
      <c r="E38" s="10" t="s">
        <v>20</v>
      </c>
      <c r="F38" s="11" t="n">
        <v>18.5</v>
      </c>
      <c r="G38" s="12" t="str">
        <f aca="false">IF(AND(ISNUMBER(D38),ISNUMBER(F38)),D38*F38,"")</f>
        <v/>
      </c>
      <c r="H38" s="10" t="s">
        <v>169</v>
      </c>
      <c r="I38" s="10" t="s">
        <v>22</v>
      </c>
      <c r="J38" s="8"/>
      <c r="K38" s="8"/>
      <c r="L38" s="8"/>
      <c r="M38" s="8"/>
      <c r="N38" s="8" t="s">
        <v>121</v>
      </c>
      <c r="O38" s="10" t="s">
        <v>122</v>
      </c>
      <c r="P38" s="10" t="s">
        <v>170</v>
      </c>
      <c r="Q38" s="10"/>
    </row>
    <row r="40" customFormat="false" ht="15" hidden="false" customHeight="true" outlineLevel="0" collapsed="false">
      <c r="A40" s="13" t="s">
        <v>171</v>
      </c>
    </row>
    <row r="41" customFormat="false" ht="15" hidden="false" customHeight="true" outlineLevel="0" collapsed="false">
      <c r="A41" s="14" t="s">
        <v>172</v>
      </c>
    </row>
    <row r="42" customFormat="false" ht="15" hidden="false" customHeight="true" outlineLevel="0" collapsed="false">
      <c r="A42" s="14" t="s">
        <v>173</v>
      </c>
    </row>
    <row r="43" customFormat="false" ht="15" hidden="false" customHeight="true" outlineLevel="0" collapsed="false">
      <c r="A43" s="14" t="s">
        <v>174</v>
      </c>
    </row>
    <row r="44" customFormat="false" ht="15" hidden="false" customHeight="true" outlineLevel="0" collapsed="false">
      <c r="A44" s="14" t="s">
        <v>175</v>
      </c>
    </row>
    <row r="45" customFormat="false" ht="15" hidden="false" customHeight="true" outlineLevel="0" collapsed="false">
      <c r="A45" s="14" t="s">
        <v>176</v>
      </c>
    </row>
    <row r="46" customFormat="false" ht="15" hidden="false" customHeight="true" outlineLevel="0" collapsed="false">
      <c r="A46" s="14" t="s">
        <v>177</v>
      </c>
    </row>
    <row r="47" customFormat="false" ht="15" hidden="false" customHeight="true" outlineLevel="0" collapsed="false">
      <c r="A47" s="14" t="s">
        <v>178</v>
      </c>
    </row>
    <row r="48" customFormat="false" ht="15" hidden="false" customHeight="true" outlineLevel="0" collapsed="false">
      <c r="A48" s="14" t="s">
        <v>179</v>
      </c>
    </row>
    <row r="49" customFormat="false" ht="15" hidden="false" customHeight="true" outlineLevel="0" collapsed="false">
      <c r="A49" s="14" t="s">
        <v>180</v>
      </c>
    </row>
    <row r="50" customFormat="false" ht="15" hidden="false" customHeight="true" outlineLevel="0" collapsed="false">
      <c r="A50" s="14" t="s">
        <v>181</v>
      </c>
    </row>
    <row r="51" customFormat="false" ht="15" hidden="false" customHeight="true" outlineLevel="0" collapsed="false">
      <c r="A51" s="14" t="s">
        <v>182</v>
      </c>
    </row>
  </sheetData>
  <autoFilter ref="A1:Q38"/>
  <dataValidations count="1">
    <dataValidation allowBlank="true" errorStyle="stop" operator="between" showDropDown="false" showErrorMessage="false" showInputMessage="false" sqref="E2:E38" type="list">
      <formula1>"L/ha,kg/ha"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2026-10-15T15:04:03Z</dcterms:created>
  <dc:creator>openpyxl</dc:creator>
  <dc:description/>
  <dc:language>en-US</dc:language>
  <cp:lastModifiedBy/>
  <dcterms:modified xsi:type="dcterms:W3CDTF">2026-10-15T15:51:17Z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