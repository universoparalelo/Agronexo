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pujal\Desktop\UTN VIRTUAL\2026\Proyecto\Agronexo\docs\"/>
    </mc:Choice>
  </mc:AlternateContent>
  <xr:revisionPtr revIDLastSave="0" documentId="11_CF73501C6AAC9925827BDFCD9F6911B48F813291" xr6:coauthVersionLast="47" xr6:coauthVersionMax="47" xr10:uidLastSave="{00000000-0000-0000-0000-000000000000}"/>
  <bookViews>
    <workbookView xWindow="-98" yWindow="-98" windowWidth="19396" windowHeight="11475" tabRatio="500" xr2:uid="{00000000-000D-0000-FFFF-FFFF00000000}"/>
  </bookViews>
  <sheets>
    <sheet name="Productos fitosanitarios" sheetId="1" r:id="rId1"/>
  </sheets>
  <definedNames>
    <definedName name="_xlnm._FilterDatabase" localSheetId="0" hidden="1">'Productos fitosanitarios'!$A$2:$S$61</definedName>
  </definedNames>
  <calcPr calcId="181029" iterateDelta="1E-4"/>
</workbook>
</file>

<file path=xl/calcChain.xml><?xml version="1.0" encoding="utf-8"?>
<calcChain xmlns="http://schemas.openxmlformats.org/spreadsheetml/2006/main">
  <c r="F61" i="1" l="1"/>
  <c r="R61" i="1" s="1"/>
  <c r="R60" i="1"/>
  <c r="R59" i="1"/>
  <c r="R58" i="1"/>
  <c r="R57" i="1"/>
  <c r="R56" i="1"/>
  <c r="R55" i="1"/>
  <c r="R54" i="1"/>
  <c r="R53" i="1"/>
  <c r="R52" i="1"/>
  <c r="R51" i="1"/>
  <c r="R50" i="1"/>
  <c r="R49" i="1"/>
  <c r="R48" i="1"/>
  <c r="R47" i="1"/>
  <c r="R46" i="1"/>
  <c r="R45" i="1"/>
  <c r="R44" i="1"/>
  <c r="R43" i="1"/>
  <c r="R42" i="1"/>
  <c r="R41" i="1"/>
  <c r="R40" i="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3" authorId="0" shapeId="0" xr:uid="{00000000-0006-0000-0000-000001000000}">
      <text>
        <r>
          <rPr>
            <sz val="11"/>
            <color theme="1"/>
            <rFont val="Calibri"/>
            <charset val="1"/>
          </rPr>
          <t>======
ID#doco.SVYUiYcVK7NOyAIDtv3rIA
Unknown Author    (2026-10-22 19:12:00)
Precios: camposimple.com.ar (USD por L o kg de producto, presentación de 10–20 L/kg). Mes tomado como 10/2026; ajustar si la captura es de otra fecha.</t>
        </r>
      </text>
    </comment>
    <comment ref="D4" authorId="0" shapeId="0" xr:uid="{00000000-0006-0000-0000-000002000000}">
      <text>
        <r>
          <rPr>
            <sz val="11"/>
            <color theme="1"/>
            <rFont val="Calibri"/>
            <charset val="1"/>
          </rPr>
          <t>======
ID#doco.bK9_6RH5_qicaeZJtr8dgQ
Usuario    (2026-10-26 08:50:03)
Marbete Atanor S.C.A. «Power Plus II» (concentrado soluble, glifosato mezcla de sales potásica y amónica 64,5 g/100 ml = 54 g/100 ml eq. ácido). Fecha del marbete: no figura (solo «Rev. 05»). SENASA N° 36.639. Uso tomado: presiembra de soja y maíz en siembra directa (soja de segunda), rango 1,7-3,1 L/ha según malezas → punto medio 2,4 L/ha. No hubo conversión de unidades. Reemplaza el valor previo 2,22 L/ha (sin comentario de origen). Otras dosis del marbete (siembra convencional mínimo 1,7; gramíneas anuales 1,6-2,5; latifoliadas anuales 1,6-2,9; perennes 1,7-4; trigo precosecha 1,7-2 L/ha) están en M. LT Platinum II se cargó aparte, en su propia fila.</t>
        </r>
      </text>
    </comment>
    <comment ref="G4" authorId="0" shapeId="0" xr:uid="{00000000-0006-0000-0000-000003000000}">
      <text>
        <r>
          <rPr>
            <sz val="11"/>
            <color theme="1"/>
            <rFont val="Calibri"/>
            <charset val="1"/>
          </rPr>
          <t>======
ID#doco.NJnzylhxahC2Q8Lipub4jw
None    (2026-10-26 08:50:03)
Antes unificada con LT Platinum II (mismo precio y 54 % eq. ácido). Se separó al cargar los marbetes de ambos: Power Plus II es mezcla de sales potásica y amónica (64,5 g/100 ml) y LT Platinum II es sal potásica (66,2 g/100 cc). LT Platinum II está en su propia fila.</t>
        </r>
      </text>
    </comment>
    <comment ref="D5" authorId="0" shapeId="0" xr:uid="{00000000-0006-0000-0000-000004000000}">
      <text>
        <r>
          <rPr>
            <sz val="11"/>
            <color theme="1"/>
            <rFont val="Calibri"/>
            <charset val="1"/>
          </rPr>
          <t>======
ID#doco.98IxWrXMka4QZaTsBi5XMA
Usuario    (2026-10-26 08:50:03)
Marbete Roundup Top (Bayer), según lo transcripto por el usuario; el marbete no fue leído directamente por Claude. Fecha del marbete y N° de registro SENASA: no informados. Uso tomado: barbecho químico de malezas anuales en roseta o de tamaño pequeño (menos de 10-15 cm), dosis única de 1,5 L/ha, sin conversión de unidades. Otras dosis (2,0 L/ha para perennes o desarrollo intermedio; 2,5-2,8 L/ha para perennes rústicas o difíciles) están en M.</t>
        </r>
      </text>
    </comment>
    <comment ref="I5" authorId="0" shapeId="0" xr:uid="{00000000-0006-0000-0000-000005000000}">
      <text>
        <r>
          <rPr>
            <sz val="11"/>
            <color theme="1"/>
            <rFont val="Calibri"/>
            <charset val="1"/>
          </rPr>
          <t>Completado. Fuente: nota publicitaria de Bayer en La Nación (2022): Roundup Top se usa en barbecho químico, presiembra (cereales de invierno, girasol, sorgo, maíz, algodón y soja) y posemergencia de cultivos tolerantes a glifosato (maíz, soja y algodón). El marbete no se leyó directamente: confirmarlo con el marbete.</t>
        </r>
      </text>
    </comment>
    <comment ref="D7" authorId="0" shapeId="0" xr:uid="{00000000-0006-0000-0000-000006000000}">
      <text>
        <r>
          <rPr>
            <sz val="11"/>
            <color theme="1"/>
            <rFont val="Calibri"/>
            <charset val="1"/>
          </rPr>
          <t>======
ID#doco.k6wnvyVYgWeuXDXKaXJtGA
Usuario    (2026-10-26 08:50:03)
Marbete Atanor S.C.A. «Power Maxx SG» (gránulos solubles; glifosato sal de amonio 75,7 g/100 g, equivalente a 68,8 g/g de ácido según el marbete). Fecha del marbete: no figura (solo «Rev. 01»). SENASA N° 37.273. Uso tomado: presiembra de soja, maíz y girasol en siembra convencional, dosis única de 1,3 kg/ha, sin rango ni conversión de unidades. Otras dosis del marbete (siembra directa en soja de segunda 1-1,3 kg/ha; gramíneas anuales 1-1,5; latifoliadas anuales 1,25-2,05; sorgo de Alepo 1,25-2,05; gramón, cebollín, junquillo, pasto guinea y yuyo sapo 2,5-3; precosecha de trigo 1,3 kg/ha) están en M.</t>
        </r>
      </text>
    </comment>
    <comment ref="D8" authorId="0" shapeId="0" xr:uid="{00000000-0006-0000-0000-000007000000}">
      <text>
        <r>
          <rPr>
            <sz val="11"/>
            <color theme="1"/>
            <rFont val="Calibri"/>
            <charset val="1"/>
          </rPr>
          <t>======
ID#doco.wZGcPdCQlf34ZsPhloxAcw
Usuario    (2026-10-26 08:50:03)
Marbete Monsanto Argentina «Roundup ControlMax» (gránulos solubles; glifosato sal monoamónica 79,2 g/100 g = 72 % p/p eq. ácido). Fecha del marbete: no figura (las fechas 24/02/2022 y 01/02/2023 son de la HDS, no del marbete). SENASA N° 38.105. Uso tomado: presiembra de soja y maíz (siembra convencional y siembra directa), rango 1,25-1,5 kg/ha → punto medio 1,375 kg/ha. No hubo conversión de unidades. Otras dosis del marbete (gramíneas anuales 1-1,5; latifoliadas anuales 1,25-2; perennes 1,25-3; algodón RR posemergencia hasta 1,4 kg/ha por aplicación y precosecha hasta 2,5 kg/ha) están en M. Fuente: capturas de imágenes del marbete (presiembra, malezas, restricciones, compatibilidad, composición, algodón, precauciones y riesgos ambientales) y lectura OCR de la portada (registro y cultivos).</t>
        </r>
      </text>
    </comment>
    <comment ref="F9" authorId="0" shapeId="0" xr:uid="{00000000-0006-0000-0000-000008000000}">
      <text>
        <r>
          <rPr>
            <sz val="11"/>
            <color theme="1"/>
            <rFont val="Calibri"/>
            <charset val="1"/>
          </rPr>
          <t>======
ID#doco.xSoCmtCDop9Fg0H7baw5LQ
Unknown Author    (2026-10-22 19:12:00)
Catálogo de herbicidas, SKU 10-01117-0, SENASA 38429. El PDF muestra «Precio: $ X» sin moneda ni unidad; se asumió USD por L (líquidos) o kg (sólidos) por coherencia con camposimple (p. ej. paraquat 27,6 %: 3,31 acá vs 3,90 allá). Dosis sin cargar: depende de la concentración.</t>
        </r>
      </text>
    </comment>
    <comment ref="I9" authorId="0" shapeId="0" xr:uid="{00000000-0006-0000-0000-000009000000}">
      <text>
        <r>
          <rPr>
            <sz val="11"/>
            <color theme="1"/>
            <rFont val="Calibri"/>
            <charset val="1"/>
          </rPr>
          <t>Completado. Fuente: catálogo de herbicidas PDF (15/10/2026): maíz RR, soja RR, trigo-soja y barbecho. En cultivo, solo variedades tolerantes a glifosato.</t>
        </r>
      </text>
    </comment>
    <comment ref="F10" authorId="0" shapeId="0" xr:uid="{00000000-0006-0000-0000-00000A000000}">
      <text>
        <r>
          <rPr>
            <sz val="11"/>
            <color theme="1"/>
            <rFont val="Calibri"/>
            <charset val="1"/>
          </rPr>
          <t>======
ID#doco.AFSnBL3-4Yq5GwfBXt6ucg
Unknown Author    (2026-10-22 19:12:00)
Catálogo de herbicidas, SKU 10-01111-0, SENASA 34926. El PDF muestra «Precio: $ X» sin moneda ni unidad; se asumió USD por L (líquidos) o kg (sólidos) por coherencia con camposimple (p. ej. paraquat 27,6 %: 3,31 acá vs 3,90 allá). Dosis sin cargar: depende de la concentración.</t>
        </r>
      </text>
    </comment>
    <comment ref="I10" authorId="0" shapeId="0" xr:uid="{00000000-0006-0000-0000-00000B000000}">
      <text>
        <r>
          <rPr>
            <sz val="11"/>
            <color theme="1"/>
            <rFont val="Calibri"/>
            <charset val="1"/>
          </rPr>
          <t>Completado. Fuente: catálogo de herbicidas PDF (15/10/2026): maíz RR, soja RR, trigo-soja y barbecho. En cultivo, solo variedades tolerantes a glifosato.</t>
        </r>
      </text>
    </comment>
    <comment ref="F11" authorId="0" shapeId="0" xr:uid="{00000000-0006-0000-0000-00000C000000}">
      <text>
        <r>
          <rPr>
            <sz val="11"/>
            <color theme="1"/>
            <rFont val="Calibri"/>
            <charset val="1"/>
          </rPr>
          <t>======
ID#doco.BBx9O54AmpvhXY31044-XQ
Unknown Author    (2026-10-22 19:12:00)
Catálogo de herbicidas, SKU 10-01053-0, SENASA 34365. El PDF muestra «Precio: $ X» sin moneda ni unidad; se asumió USD por L (líquidos) o kg (sólidos) por coherencia con camposimple (p. ej. paraquat 27,6 %: 3,31 acá vs 3,90 allá). Dosis sin cargar: depende de la concentración.</t>
        </r>
      </text>
    </comment>
    <comment ref="I11" authorId="0" shapeId="0" xr:uid="{00000000-0006-0000-0000-00000D000000}">
      <text>
        <r>
          <rPr>
            <sz val="11"/>
            <color theme="1"/>
            <rFont val="Calibri"/>
            <charset val="1"/>
          </rPr>
          <t>Completado. Fuente: catálogo de herbicidas PDF (15/10/2026): maíz RR, soja RR, trigo-soja y barbecho. En cultivo, solo variedades tolerantes a glifosato.</t>
        </r>
      </text>
    </comment>
    <comment ref="F12" authorId="0" shapeId="0" xr:uid="{00000000-0006-0000-0000-00000E000000}">
      <text>
        <r>
          <rPr>
            <sz val="11"/>
            <color theme="1"/>
            <rFont val="Calibri"/>
            <charset val="1"/>
          </rPr>
          <t>======
ID#doco.Pbh8F4pz0SoKWfQ04PCqnQ
Unknown Author    (2026-10-22 19:12:00)
Catálogo de herbicidas, SKU 10-01133-0, SENASA 39843. El PDF muestra «Precio: $ X» sin moneda ni unidad; se asumió USD por L (líquidos) o kg (sólidos) por coherencia con camposimple (p. ej. paraquat 27,6 %: 3,31 acá vs 3,90 allá). Dosis sin cargar: depende de la concentración.</t>
        </r>
      </text>
    </comment>
    <comment ref="I12" authorId="0" shapeId="0" xr:uid="{00000000-0006-0000-0000-00000F000000}">
      <text>
        <r>
          <rPr>
            <sz val="11"/>
            <color theme="1"/>
            <rFont val="Calibri"/>
            <charset val="1"/>
          </rPr>
          <t>Completado. Fuente: catálogo de herbicidas PDF (15/10/2026): maíz RR, soja RR, trigo-soja y barbecho. En cultivo, solo variedades tolerantes a glifosato.</t>
        </r>
      </text>
    </comment>
    <comment ref="D13" authorId="0" shapeId="0" xr:uid="{00000000-0006-0000-0000-000010000000}">
      <text>
        <r>
          <rPr>
            <sz val="11"/>
            <color theme="1"/>
            <rFont val="Calibri"/>
            <charset val="1"/>
          </rPr>
          <t>======
ID#doco.jmswAExjpXvyL7KxvIg-3w
Usuario    (2026-10-26 08:50:03)
Marbete Monsanto Argentina «Roundup» (concentrado soluble, glifosato sal isopropilamina 48 g/100 cm³ = 36 % p/v eq. ácido). Fecha del marbete: no figura en el PDF. SENASA N° 31.098. Uso tomado: presiembra de soja y maíz (siembra convencional y siembra directa), dosis única de 2,5 L/ha, sin rango. Otras dosis del marbete (anuales gramíneas 2-3 L/ha, latifoliadas 2,5-4 L/ha, perennes 2,5-6 L/ha, precosecha de trigo 2,5 L/ha) están en M.</t>
        </r>
      </text>
    </comment>
    <comment ref="D14" authorId="0" shapeId="0" xr:uid="{00000000-0006-0000-0000-000011000000}">
      <text>
        <r>
          <rPr>
            <sz val="11"/>
            <color theme="1"/>
            <rFont val="Calibri"/>
            <charset val="1"/>
          </rPr>
          <t>======
ID#doco.1agqi-GrCIWf7m-VQaK7dw
Usuario    (2026-10-26 08:50:03)
Marbete Corteva Agriscience «Panzer Gold ST» (concentrado soluble, glifosato sal dimetilamina 60,8 g/100 cm³ = 48 g/100 cm³ eq. ácido). Fecha del marbete: no figura en el PDF. SENASA N° SE-374. Uso tomado: presiembra de soja y maíz (siembra convencional; en siembra directa de soja de segunda), dosis única de 2 L/ha, sin rango ni conversión. Otras dosis del marbete (siembra directa 2-4,5 L/ha; soja RR 1,5 L/ha; maíz RR 1,8-3,6 L/ha; algodón RR 2 L/ha, precosecha 3,5 L/ha; trigo precosecha 2 L/ha; por maleza) están en M.</t>
        </r>
      </text>
    </comment>
    <comment ref="D15" authorId="0" shapeId="0" xr:uid="{00000000-0006-0000-0000-000012000000}">
      <text>
        <r>
          <rPr>
            <sz val="11"/>
            <color theme="1"/>
            <rFont val="Calibri"/>
            <charset val="1"/>
          </rPr>
          <t>======
ID#doco.aA4t5_7m3UvPM9csvb5BOA
Usuario    (2026-10-26 08:50:03)
Marbete Syngenta Agro «Sulfosato Touchdown» (concentrado soluble SL, glifosato sal potásica 62 g/100 cm³ = 506 g/L eq. ácido). Fecha del marbete: no figura en el PDF. SENASA N° 33.566. Uso tomado: barbecho químico y labranza química, malezas gramíneas anuales (malezas de menos de 15 cm), rango 1,50-2,30 L/ha → punto medio 1,9 L/ha. No hubo conversión de unidades. Otras dosis del marbete (latifoliadas anuales 1,9-3,0 L/ha; perennes 1,5-4,5 L/ha; soja RG 1,1-1,5 L/ha; maíz RG 1,8-3,5 L/ha; algodón RG 1,9 L/ha, precosecha hasta 3,3 L/ha) están en M.</t>
        </r>
      </text>
    </comment>
    <comment ref="D16" authorId="0" shapeId="0" xr:uid="{00000000-0006-0000-0000-000013000000}">
      <text>
        <r>
          <rPr>
            <sz val="11"/>
            <color theme="1"/>
            <rFont val="Calibri"/>
            <charset val="1"/>
          </rPr>
          <t>======
ID#doco.oDnyljEQzgP0wdPUmyBMVw
Usuario    (2026-10-26 08:50:03)
Marbete YPF S.A. «YPF Glifosato Concentrado HA» (concentrado soluble, glifosato mezcla de sales potásica y amónica 64,5 g/100 ml = 54 g/100 ml eq. ácido). Fecha del marbete: no figura en el PDF. N° de registro SENASA: no figura (el campo «SENASA Nº» está sin número). Uso tomado: presiembra de soja y maíz en siembra directa (soja de segunda), rango 1,7-3,1 L/ha según malezas → punto medio 2,4 L/ha. No hubo conversión de unidades. Otras dosis del marbete (siembra convencional mínimo 1,7 L/ha; gramíneas anuales 1,6-2,5; latifoliadas anuales 1,6-2,9; perennes 1,7-4; trigo precosecha 1,7-2 L/ha) están en M.</t>
        </r>
      </text>
    </comment>
    <comment ref="D17" authorId="0" shapeId="0" xr:uid="{00000000-0006-0000-0000-000014000000}">
      <text>
        <r>
          <rPr>
            <sz val="11"/>
            <color theme="1"/>
            <rFont val="Calibri"/>
            <charset val="1"/>
          </rPr>
          <t>======
ID#doco.gCOaqhWtNLFjBGx41z6nng
Usuario    (2026-10-26 08:50:03)
Marbete Agrofina S.A. «March II» (concentrado soluble SL, glifosato mezcla de sales potásica y amónica 64,5 g/100 ml = 54,0 % p/v eq. ácido). Fecha del marbete: 27/02/2023 (código de arte V.01, MARCHII_BIDON_27/02/2023). SENASA N° 36.641. Uso tomado: barbecho químico y presiembra (tabla «Dosis y momento de aplicación»), malezas gramíneas anuales, rango 1,6-2,5 L/ha → punto medio 2,05 L/ha. No hubo conversión de unidades. Otras dosis del marbete (hoja ancha anuales 1,6-2,9; perennes 1,7-4; soja RG 1,0-1,4; maíz RG 1,7-3,3; algodón RG 1,8, precosecha hasta 3,1 L/ha; trigo precosecha 1,7-2,0 L/ha) están en M. La lectura del PDF requirió separar columnas; verificar contra el original.</t>
        </r>
      </text>
    </comment>
    <comment ref="D18" authorId="0" shapeId="0" xr:uid="{00000000-0006-0000-0000-000015000000}">
      <text>
        <r>
          <rPr>
            <sz val="11"/>
            <color theme="1"/>
            <rFont val="Calibri"/>
            <charset val="1"/>
          </rPr>
          <t>======
ID#doco.6iFC6i6MFCDz4R0yv_iTqg
Usuario    (2026-10-26 08:50:03)
Marbete Sigma Agro S.A. «Glifosato Gold» (concentrado soluble, glifosato sal isopropilamina 60 g/100 cm³ = 44,5 g/100 cm³ eq. ácido). Fecha del marbete: no figura en el PDF. N° de registro SENASA: no figura (el campo «Inscripto en SENASA con el N°» está sin número). Uso tomado: barbecho químico y labranza química en cobertura total, malezas gramíneas anuales, rango 1,6-2,4 L/ha → punto medio 2,0 L/ha. No hubo conversión de unidades. Otras dosis del marbete (latifoliadas anuales 2-3,2; sorgo de Alepo 2-3,2; perennes latifoliadas, ciperáceas, gramón y pasto guinea 4,8 L/ha) están en M. El marbete no nombra soja, maíz, algodón ni sorgo como cultivos de uso (columna I vacía).</t>
        </r>
      </text>
    </comment>
    <comment ref="I18" authorId="0" shapeId="0" xr:uid="{00000000-0006-0000-0000-000016000000}">
      <text>
        <r>
          <rPr>
            <sz val="11"/>
            <color theme="1"/>
            <rFont val="Calibri"/>
            <charset val="1"/>
          </rPr>
          <t>Completado: «barbecho». El marbete de Glifosato Gold usa el producto en cobertura total para barbecho químico y labranza química y no nombra cultivos de uso. Criterio adoptado: en esta columna, «barbecho» indica uso en barbecho químico, sin cultivo asociado.</t>
        </r>
      </text>
    </comment>
    <comment ref="D19" authorId="0" shapeId="0" xr:uid="{00000000-0006-0000-0000-000017000000}">
      <text>
        <r>
          <rPr>
            <sz val="11"/>
            <color theme="1"/>
            <rFont val="Calibri"/>
            <charset val="1"/>
          </rPr>
          <t>======
ID#doco.PPO3FVpZHhBX9l5o68_rVA
Usuario    (2026-10-26 08:50:03)
Marbete Monsanto Argentina S.R.L. «La Tijereta Platinum II» (LT Platinum II; concentrado soluble, glifosato sal potásica 66,2 g/100 cc = 54 % p/v eq. ácido). Fecha del marbete: Rev. 06/22 (código AR 30202821). SENASA N° 38.702. Uso tomado: presiembra de soja, maíz y girasol, siembra convencional y directa, rango 1,6-3,1 L/ha → punto medio 2,35 L/ha. No hubo conversión de unidades. Otras dosis del marbete (soja RR 1,4-1,6 L/ha; maíz RR 1,6 L/ha, hasta 3,3; algodón RR hasta 1,8 L/ha, precosecha hasta 3,1; gramíneas anuales 1,6-2,5; latifoliadas anuales 1,6-2,9; perennes 1,7-4 L/ha; trigo precosecha 1,7-2,0 L/ha) están en M. El PDF no tiene capa de texto: se leyó por OCR; verificar contra el original.</t>
        </r>
      </text>
    </comment>
    <comment ref="F19" authorId="0" shapeId="0" xr:uid="{00000000-0006-0000-0000-000018000000}">
      <text>
        <r>
          <rPr>
            <sz val="11"/>
            <color theme="1"/>
            <rFont val="Calibri"/>
            <charset val="1"/>
          </rPr>
          <t>======
ID#doco.3QnODDR62Bb5JlHdwUs1xw
Usuario    (2026-10-26 08:50:03)
Precio indicado por el usuario: «LT Platinum II – Glifosato 66,2 % | 20 L, u$s 5,90 (5,9 u$s/L)». La fuente original del listado no fue indicada; se asume USD por L.</t>
        </r>
      </text>
    </comment>
    <comment ref="I20" authorId="0" shapeId="0" xr:uid="{00000000-0006-0000-0000-000019000000}">
      <text>
        <r>
          <rPr>
            <sz val="11"/>
            <color theme="1"/>
            <rFont val="Calibri"/>
            <charset val="1"/>
          </rPr>
          <t>Corregido. Antes: «soja, maíz, algodón, sorgo» (valor por defecto del motor, no del marbete). El 2,4-D éster se usa en sorgo y maíz: el catálogo de herbicidas PDF (15/10/2026) lista sorgo para 2,4 D Action / Excel (éster etilhexílico 89 %) y maíz y sorgo para Herbifen Advance (éster 2-etilhexílico 97 EC). Ojo: Action / Excel no nombran maíz; confirmarlo con el marbete del producto de referencia. Algodón y soja no tolerante son cultivos sensibles al 2,4-D (circular SENASA 2021 sobre etiquetado de 2,4-D).</t>
        </r>
      </text>
    </comment>
    <comment ref="I21" authorId="0" shapeId="0" xr:uid="{00000000-0006-0000-0000-00001A000000}">
      <text>
        <r>
          <rPr>
            <sz val="11"/>
            <color theme="1"/>
            <rFont val="Calibri"/>
            <charset val="1"/>
          </rPr>
          <t>Corregido. Antes: «soja, maíz, algodón, sorgo». La atrazina se usa en maíz y sorgo (también caña de azúcar, fuera de los cuatro): marbete Atranex 90 WG (ADAMA Argentina, SENASA 33.950) y catálogo de herbicidas PDF (Atratop 90 y Trac 50 FL). La soja es sensible a la atrazina y el herbicida deja residualidad que puede dañar cultivos siguientes.</t>
        </r>
      </text>
    </comment>
    <comment ref="I22" authorId="0" shapeId="0" xr:uid="{00000000-0006-0000-0000-00001B000000}">
      <text>
        <r>
          <rPr>
            <sz val="11"/>
            <color theme="1"/>
            <rFont val="Calibri"/>
            <charset val="1"/>
          </rPr>
          <t>Corregido. Antes: «soja, maíz, algodón, sorgo». Es un graminicida (grupo A): solo se aplica en cultivos de hoja ancha. Catálogo de herbicidas PDF: Resolutor lista alfalfa, papa, soja, barbecho y algodón; el marbete de Resolutor 36 ACA lista alfalfa, algodón, girasol, maní, papa, poroto y soja. El maíz y el sorgo son gramíneas: el producto las controla (el marbete lo usa contra maíz guacho).</t>
        </r>
      </text>
    </comment>
    <comment ref="F23" authorId="0" shapeId="0" xr:uid="{00000000-0006-0000-0000-00001C000000}">
      <text>
        <r>
          <rPr>
            <sz val="11"/>
            <color theme="1"/>
            <rFont val="Calibri"/>
            <charset val="1"/>
          </rPr>
          <t>======
ID#doco.jwZMNzN-U0Z0J7IcgFN8zQ
Unknown Author    (2026-10-22 19:12:00)
Catálogo de herbicidas, SKU 10-01057-0, SENASA 34743. El PDF muestra «Precio: $ X» sin moneda ni unidad; se asumió USD por L (líquidos) o kg (sólidos) por coherencia con camposimple (p. ej. paraquat 27,6 %: 3,31 acá vs 3,90 allá). Reemplaza el valor estimado del PDF HU-R4-05 (22,00 USD/L), que queda anotado en la columna Q.</t>
        </r>
      </text>
    </comment>
    <comment ref="I23" authorId="0" shapeId="0" xr:uid="{00000000-0006-0000-0000-00001D000000}">
      <text>
        <r>
          <rPr>
            <sz val="11"/>
            <color theme="1"/>
            <rFont val="Calibri"/>
            <charset val="1"/>
          </rPr>
          <t>Corregido. Antes: «soja, maíz, algodón, sorgo». Catálogo de herbicidas PDF (Imizet ACA 10): alfalfa, arveja, maíz, maní, soja y poroto; no figura algodón ni sorgo. Criterio agronómico general, no está en el PDF: el maíz sería solo de híbridos tolerantes a imidazolinonas; confirmarlo en el marbete.</t>
        </r>
      </text>
    </comment>
    <comment ref="F24" authorId="0" shapeId="0" xr:uid="{00000000-0006-0000-0000-00001E000000}">
      <text>
        <r>
          <rPr>
            <sz val="11"/>
            <color theme="1"/>
            <rFont val="Calibri"/>
            <charset val="1"/>
          </rPr>
          <t>======
ID#doco.8pTcpD0HOpv0BaIPITHgqQ
Unknown Author    (2026-10-22 19:12:00)
Precio tomado del PDF de relevamiento HU-R4-05, no verificado de forma independiente. Presentación: Frasco 1 L. Fuente citada en el PDF: CASAFE Lista 2026-S1; Syngenta AMISTAR precio distribuidor.</t>
        </r>
      </text>
    </comment>
    <comment ref="F25" authorId="0" shapeId="0" xr:uid="{00000000-0006-0000-0000-00001F000000}">
      <text>
        <r>
          <rPr>
            <sz val="11"/>
            <color theme="1"/>
            <rFont val="Calibri"/>
            <charset val="1"/>
          </rPr>
          <t>======
ID#doco.gkdUc0q-5_F7faixI_NEbA
Unknown Author    (2026-10-22 19:12:00)
Precio tomado del PDF de relevamiento HU-R4-05, no verificado de forma independiente. Presentación: Bolsa 200 g. Fuente citada en el PDF: CASAFE Lista 2026-S1; Bayer NATIVO equivalente.</t>
        </r>
      </text>
    </comment>
    <comment ref="F26" authorId="0" shapeId="0" xr:uid="{00000000-0006-0000-0000-000020000000}">
      <text>
        <r>
          <rPr>
            <sz val="11"/>
            <color theme="1"/>
            <rFont val="Calibri"/>
            <charset val="1"/>
          </rPr>
          <t>======
ID#doco.busz2veuIBK9b9E-fihIcA
Unknown Author    (2026-10-22 19:12:00)
Precio tomado del PDF de relevamiento HU-R4-05, no verificado de forma independiente. Presentación: Bolsa 1 kg. Fuente citada en el PDF: CASAFE Lista 2026-S1.</t>
        </r>
      </text>
    </comment>
    <comment ref="F27" authorId="0" shapeId="0" xr:uid="{00000000-0006-0000-0000-000021000000}">
      <text>
        <r>
          <rPr>
            <sz val="11"/>
            <color theme="1"/>
            <rFont val="Calibri"/>
            <charset val="1"/>
          </rPr>
          <t>======
ID#doco.-hDdeBRC1f5ocfEMeHf0WQ
Unknown Author    (2026-10-22 19:12:00)
Precio tomado del PDF de relevamiento HU-R4-05, no verificado de forma independiente. Presentación: Frasco 1 L. Fuente citada en el PDF: CASAFE Lista 2026-S1; Bayer FOLICUR.</t>
        </r>
      </text>
    </comment>
    <comment ref="F28" authorId="0" shapeId="0" xr:uid="{00000000-0006-0000-0000-000022000000}">
      <text>
        <r>
          <rPr>
            <sz val="11"/>
            <color theme="1"/>
            <rFont val="Calibri"/>
            <charset val="1"/>
          </rPr>
          <t>======
ID#doco.qNvtIvLcAIXPQUV6AGazEA
Unknown Author    (2026-10-22 19:12:00)
Precio tomado del PDF de relevamiento HU-R4-05, no verificado de forma independiente. Presentación: Frasco 1 L. Fuente citada en el PDF: INTA EEA Reconquista 2026; distribuidoras regionales.</t>
        </r>
      </text>
    </comment>
    <comment ref="F29" authorId="0" shapeId="0" xr:uid="{00000000-0006-0000-0000-000023000000}">
      <text>
        <r>
          <rPr>
            <sz val="11"/>
            <color theme="1"/>
            <rFont val="Calibri"/>
            <charset val="1"/>
          </rPr>
          <t>======
ID#doco.5FK24VTIn3WKtPam8xJWUw
Unknown Author    (2026-10-22 19:12:00)
Precio tomado del PDF de relevamiento HU-R4-05, no verificado de forma independiente. Presentación: Bidón 20 L. Fuente citada en el PDF: CASAFE Lista 2026-S1.</t>
        </r>
      </text>
    </comment>
    <comment ref="F30" authorId="0" shapeId="0" xr:uid="{00000000-0006-0000-0000-000024000000}">
      <text>
        <r>
          <rPr>
            <sz val="11"/>
            <color theme="1"/>
            <rFont val="Calibri"/>
            <charset val="1"/>
          </rPr>
          <t>======
ID#doco.XynCUqjvOF23mX3kg99nXQ
Unknown Author    (2026-10-22 19:12:00)
Precio tomado del PDF de relevamiento HU-R4-05, no verificado de forma independiente. Presentación: Frasco 1 L. Fuente citada en el PDF: CASAFE Lista 2026-S1; Syngenta KARATE.</t>
        </r>
      </text>
    </comment>
    <comment ref="F31" authorId="0" shapeId="0" xr:uid="{00000000-0006-0000-0000-000025000000}">
      <text>
        <r>
          <rPr>
            <sz val="11"/>
            <color theme="1"/>
            <rFont val="Calibri"/>
            <charset val="1"/>
          </rPr>
          <t>======
ID#doco.5xpks1qPZ5TJHcnZxwo8hA
Unknown Author    (2026-10-22 19:12:00)
Precio tomado del PDF de relevamiento HU-R4-05, no verificado de forma independiente. Presentación: Frasco 1 L. Fuente citada en el PDF: CASAFE Lista 2026-S1; Bayer CONFIDOR.</t>
        </r>
      </text>
    </comment>
    <comment ref="F32" authorId="0" shapeId="0" xr:uid="{00000000-0006-0000-0000-000026000000}">
      <text>
        <r>
          <rPr>
            <sz val="11"/>
            <color theme="1"/>
            <rFont val="Calibri"/>
            <charset val="1"/>
          </rPr>
          <t>======
ID#doco.9p3Ttvf5D7MoZxHv1mhO6w
Unknown Author    (2026-10-22 19:12:00)
Precio tomado del PDF de relevamiento HU-R4-05, no verificado de forma independiente. Presentación: Frasco 1 L. Fuente citada en el PDF: Dow/Corteva TRACER; INTA precio referencia.</t>
        </r>
      </text>
    </comment>
    <comment ref="F33" authorId="0" shapeId="0" xr:uid="{00000000-0006-0000-0000-000027000000}">
      <text>
        <r>
          <rPr>
            <sz val="11"/>
            <color theme="1"/>
            <rFont val="Calibri"/>
            <charset val="1"/>
          </rPr>
          <t>======
ID#doco.JZEegBmAT2Ga_LFbCguN-Q
Unknown Author    (2026-10-22 19:12:00)
Precio tomado del PDF de relevamiento HU-R4-05, no verificado de forma independiente. Presentación: Bolsa 1 kg. Fuente citada en el PDF: CASAFE Lista 2026-S1; Syngenta ACTARA.</t>
        </r>
      </text>
    </comment>
    <comment ref="F34" authorId="0" shapeId="0" xr:uid="{00000000-0006-0000-0000-000028000000}">
      <text>
        <r>
          <rPr>
            <sz val="11"/>
            <color theme="1"/>
            <rFont val="Calibri"/>
            <charset val="1"/>
          </rPr>
          <t>======
ID#doco.E03FAg6mO_FJheLr5oEjyQ
Unknown Author    (2026-10-22 19:12:00)
Precio tomado del PDF de relevamiento HU-R4-05, no verificado de forma independiente. Presentación: Bolsa 50 kg. Fuente citada en el PDF: CIAFA 2026-T3; Profertil lista de precios.</t>
        </r>
      </text>
    </comment>
    <comment ref="F35" authorId="0" shapeId="0" xr:uid="{00000000-0006-0000-0000-000029000000}">
      <text>
        <r>
          <rPr>
            <sz val="11"/>
            <color theme="1"/>
            <rFont val="Calibri"/>
            <charset val="1"/>
          </rPr>
          <t>======
ID#doco.AtSWSCBbOqAbIiWpmKD52A
Unknown Author    (2026-10-22 19:12:00)
Precio tomado del PDF de relevamiento HU-R4-05, no verificado de forma independiente. Presentación: Bolsa 50 kg. Fuente citada en el PDF: CIAFA 2026-T3; Profertil lista de precios.</t>
        </r>
      </text>
    </comment>
    <comment ref="F36" authorId="0" shapeId="0" xr:uid="{00000000-0006-0000-0000-00002A000000}">
      <text>
        <r>
          <rPr>
            <sz val="11"/>
            <color theme="1"/>
            <rFont val="Calibri"/>
            <charset val="1"/>
          </rPr>
          <t>======
ID#doco.d3IkdUbJo-EkFqd8m0pMyw
Unknown Author    (2026-10-22 19:12:00)
Precio tomado del PDF de relevamiento HU-R4-05, no verificado de forma independiente. Presentación: Bolsa 25 kg. Fuente citada en el PDF: K+S Kali EPSO Top; INTA NEA 2026.</t>
        </r>
      </text>
    </comment>
    <comment ref="F37" authorId="0" shapeId="0" xr:uid="{00000000-0006-0000-0000-00002B000000}">
      <text>
        <r>
          <rPr>
            <sz val="11"/>
            <color theme="1"/>
            <rFont val="Calibri"/>
            <charset val="1"/>
          </rPr>
          <t>======
ID#doco.D1Y52xfh2swJW6WJ99Pscw
Unknown Author    (2026-10-22 19:12:00)
Precio tomado del PDF de relevamiento HU-R4-05, no verificado de forma independiente. Presentación: Frasco 1 L. Fuente citada en el PDF: Distribuidoras NEA (estimado por principio activo). El PDF indica que requiere confirmación antes de cargar en producción.</t>
        </r>
      </text>
    </comment>
    <comment ref="F38" authorId="0" shapeId="0" xr:uid="{00000000-0006-0000-0000-00002C000000}">
      <text>
        <r>
          <rPr>
            <sz val="11"/>
            <color theme="1"/>
            <rFont val="Calibri"/>
            <charset val="1"/>
          </rPr>
          <t>======
ID#doco.l060Hu0Bolw9mbXPUhxIWw
Unknown Author    (2026-10-22 19:12:00)
Precio tomado del PDF de relevamiento HU-R4-05, no verificado de forma independiente. Presentación: Frasco 1 L. Fuente citada en el PDF: INTA EEA Sáenz Peña 2026; BASF ETHREL.</t>
        </r>
      </text>
    </comment>
    <comment ref="F39" authorId="0" shapeId="0" xr:uid="{00000000-0006-0000-0000-00002D000000}">
      <text>
        <r>
          <rPr>
            <sz val="11"/>
            <color theme="1"/>
            <rFont val="Calibri"/>
            <charset val="1"/>
          </rPr>
          <t>======
ID#doco.BfUsobNwaxVsxFItsjIA6Q
Unknown Author    (2026-10-22 19:12:00)
Precio tomado del PDF de relevamiento HU-R4-05, no verificado de forma independiente. Presentación: Bolsa 1 kg. Fuente citada en el PDF: INTA EEA Sáenz Peña 2026; Bayer DROPP equivalente. Revisar la concentración (0,4 % + 0,4 %) contra el marbete: llama la atención para un WG.</t>
        </r>
      </text>
    </comment>
    <comment ref="D40" authorId="0" shapeId="0" xr:uid="{00000000-0006-0000-0000-00002E000000}">
      <text>
        <r>
          <rPr>
            <sz val="11"/>
            <color theme="1"/>
            <rFont val="Calibri"/>
            <charset val="1"/>
          </rPr>
          <t>======
ID#doco.i_IJVJti9lR71WVjL3ubFg
Unknown Author    (2026-10-22 19:12:00)
Marbete Corteva «Elevore» (26/05/2022, SENASA N° 40776): 120 cm³/ha en presiembra de soja, en mezcla con glifosato (Panzer Gold 2,5 L/ha) + aceite vegetal metilado 0,5–1 % v/v. Convertido a L/ha. El costo real del tratamiento incluye esos productos de la mezcla.</t>
        </r>
      </text>
    </comment>
    <comment ref="D41" authorId="0" shapeId="0" xr:uid="{00000000-0006-0000-0000-00002F000000}">
      <text>
        <r>
          <rPr>
            <sz val="11"/>
            <color theme="1"/>
            <rFont val="Calibri"/>
            <charset val="1"/>
          </rPr>
          <t>======
ID#doco.Me8TKB5tKjCSnp4oYW04Pg
Unknown Author    (2026-10-22 19:12:00)
Marbete Dow/Corteva «Galant Max» (14/08/2020, SENASA N° 39.991): anuales 50–70 mL/ha, sorgo de alepo de rizoma 70–90 mL/ha, gramón 130–170 mL/ha. Se carga 70 mL/ha = 0,07 L/ha (valor común a anuales y a sorgo de alepo). Siempre con aceite metilado vegetal 200 cc/ha.</t>
        </r>
      </text>
    </comment>
    <comment ref="I41" authorId="0" shapeId="0" xr:uid="{00000000-0006-0000-0000-000030000000}">
      <text>
        <r>
          <rPr>
            <sz val="11"/>
            <color theme="1"/>
            <rFont val="Calibri"/>
            <charset val="1"/>
          </rPr>
          <t>Completado. Antes: «Algodón, soja». El marbete de Galant Max (SENASA 39.991, 14/08/2020) incluye soja, girasol, maní, poroto, algodón y maíz Enlist®. Se agregó maíz (solo Enlist, aplicación hasta V4).</t>
        </r>
      </text>
    </comment>
    <comment ref="H42" authorId="0" shapeId="0" xr:uid="{00000000-0006-0000-0000-000031000000}">
      <text>
        <r>
          <rPr>
            <sz val="11"/>
            <color theme="1"/>
            <rFont val="Calibri"/>
            <charset val="1"/>
          </rPr>
          <t>======
ID#doco.KttHU8xza0S5fkOLAKwmGw
Unknown Author    (2026-10-22 19:12:00)
Pendiente de verificar: confirmar en el marbete que sea haloxyfop-R-metil y su concentración. La dosis no se cargó porque la de Galant Max (93,5 g/100 cm³) no aplica a este producto.</t>
        </r>
      </text>
    </comment>
    <comment ref="I42" authorId="0" shapeId="0" xr:uid="{00000000-0006-0000-0000-000032000000}">
      <text>
        <r>
          <rPr>
            <sz val="11"/>
            <color theme="1"/>
            <rFont val="Calibri"/>
            <charset val="1"/>
          </rPr>
          <t>Completado. Fuente: página del producto H-Fop 54 en camposimple.com.ar: soja, girasol y maní. Se dejó solo soja (dentro de los cuatro cultivos). Marbete no leído (el PDF es una imagen).</t>
        </r>
      </text>
    </comment>
    <comment ref="F43" authorId="0" shapeId="0" xr:uid="{00000000-0006-0000-0000-000033000000}">
      <text>
        <r>
          <rPr>
            <sz val="11"/>
            <color theme="1"/>
            <rFont val="Calibri"/>
            <charset val="1"/>
          </rPr>
          <t>======
ID#doco.MRjuA6LuO4Qi2lbm41Prmg
Unknown Author    (2026-10-22 19:12:00)
Catálogo de herbicidas, SKU 10-01134-0, SENASA 39952. El PDF muestra «Precio: $ X» sin moneda ni unidad; se asumió USD por L (líquidos) o kg (sólidos) por coherencia con camposimple (p. ej. paraquat 27,6 %: 3,31 acá vs 3,90 allá). Dosis sin cargar: depende de la concentración. Verificar en el marbete que sea haloxyfop-R-metil.</t>
        </r>
      </text>
    </comment>
    <comment ref="I43" authorId="0" shapeId="0" xr:uid="{00000000-0006-0000-0000-000034000000}">
      <text>
        <r>
          <rPr>
            <sz val="11"/>
            <color theme="1"/>
            <rFont val="Calibri"/>
            <charset val="1"/>
          </rPr>
          <t>Completado. Fuente: catálogo de herbicidas PDF (15/10/2026): poroto, soja, girasol, maní y algodón.</t>
        </r>
      </text>
    </comment>
    <comment ref="D44" authorId="0" shapeId="0" xr:uid="{00000000-0006-0000-0000-000035000000}">
      <text>
        <r>
          <rPr>
            <sz val="11"/>
            <color theme="1"/>
            <rFont val="Calibri"/>
            <charset val="1"/>
          </rPr>
          <t>======
ID#doco.7lwoidnpkoQKBWOG0KHnjw
Unknown Author    (2026-10-22 19:12:00)
Marbete Corteva «Spider» (05/09/2019, SENASA N° 33.101), región NEA/NOA, soja, pre-siembra/pre-emergencia: 30 g/ha = 0,03 kg/ha (42 g/ha solo en soja no transgénica con bejuco/campanilla). Con aceite Uptake Plus 0,5 % v/v.</t>
        </r>
      </text>
    </comment>
    <comment ref="F44" authorId="0" shapeId="0" xr:uid="{00000000-0006-0000-0000-000036000000}">
      <text>
        <r>
          <rPr>
            <sz val="11"/>
            <color theme="1"/>
            <rFont val="Calibri"/>
            <charset val="1"/>
          </rPr>
          <t>======
ID#doco.W3ZG3wwRJTbyo6Z4S6LJOw
Unknown Author    (2026-10-22 19:12:00)
Precio de Ceomax 84 WG (diclosulam 84 % WG), SKU 10-02229-0, SENASA 39055. Es un producto equivalente (mismo activo y concentración) al de referencia del marbete (Spider), que no tiene precio publicado. El PDF muestra «Precio: $ X» sin moneda ni unidad; se asumió USD por L (líquidos) o kg (sólidos) por coherencia con camposimple (p. ej. paraquat 27,6 %: 3,31 acá vs 3,90 allá).</t>
        </r>
      </text>
    </comment>
    <comment ref="D45" authorId="0" shapeId="0" xr:uid="{00000000-0006-0000-0000-000037000000}">
      <text>
        <r>
          <rPr>
            <sz val="11"/>
            <color theme="1"/>
            <rFont val="Calibri"/>
            <charset val="1"/>
          </rPr>
          <t>======
ID#doco.84tARVATcR-HAEL1ZFjLZA
Unknown Author    (2026-10-22 19:12:00)
Marbete Corteva «Lontrel» (02/06/2022, SENASA N° 33.572): maíz 100–150 cm³/ha, sorgo 150–200 cm³/ha, ambos en mezcla con 2,4-D. Se carga 150 cm³/ha = 0,15 L/ha (valor válido para los dos cultivos).</t>
        </r>
      </text>
    </comment>
    <comment ref="D46" authorId="0" shapeId="0" xr:uid="{00000000-0006-0000-0000-000038000000}">
      <text>
        <r>
          <rPr>
            <sz val="11"/>
            <color theme="1"/>
            <rFont val="Calibri"/>
            <charset val="1"/>
          </rPr>
          <t>======
ID#doco.jM3t3nZXI-G5--0yX9cSpw
Unknown Author    (2026-10-22 19:12:00)
Marbete Corteva «Tordon 24K» (07/07/2020, SENASA N° 30.736): maíz/sorgo 100–125 cm³/ha + 2,4-D 320–480 cm³/ha. Se carga el punto medio 112,5 cm³/ha = 0,1125 L/ha. El marbete también cubre sorgo (la columna J solo dice Maíz).</t>
        </r>
      </text>
    </comment>
    <comment ref="F46" authorId="0" shapeId="0" xr:uid="{00000000-0006-0000-0000-000039000000}">
      <text>
        <r>
          <rPr>
            <sz val="11"/>
            <color theme="1"/>
            <rFont val="Calibri"/>
            <charset val="1"/>
          </rPr>
          <t>======
ID#doco.zgW558dPlfTgw58EN58f7g
Unknown Author    (2026-10-22 19:12:00)
Precio de Picloram ACA 24 SL (picloram 24 %, 240 g/L eq. ácido), SKU 10-01556-2, SENASA 39412. Es un producto equivalente (mismo activo y concentración) al de referencia del marbete (Tordon 24K), que no tiene precio publicado. El PDF muestra «Precio: $ X» sin moneda ni unidad; se asumió USD por L (líquidos) o kg (sólidos) por coherencia con camposimple (p. ej. paraquat 27,6 %: 3,31 acá vs 3,90 allá).</t>
        </r>
      </text>
    </comment>
    <comment ref="I46" authorId="0" shapeId="0" xr:uid="{00000000-0006-0000-0000-00003A000000}">
      <text>
        <r>
          <rPr>
            <sz val="11"/>
            <color theme="1"/>
            <rFont val="Calibri"/>
            <charset val="1"/>
          </rPr>
          <t>Completado. Antes: «Maíz». El marbete de Tordon 24K (SENASA 30.736, 07/07/2020) incluye maíz y sorgo (100–125 cm³/ha, con 2,4-D), además de cereales de invierno, caña de azúcar y lino. Se agregó sorgo.</t>
        </r>
      </text>
    </comment>
    <comment ref="D47" authorId="0" shapeId="0" xr:uid="{00000000-0006-0000-0000-00003B000000}">
      <text>
        <r>
          <rPr>
            <sz val="11"/>
            <color theme="1"/>
            <rFont val="Calibri"/>
            <charset val="1"/>
          </rPr>
          <t>======
ID#doco._R_D3QFKzyDZHaYzOEEK2g
Unknown Author    (2026-10-22 19:12:00)
Marbete Corteva «Preside» (15/11/2019, SENASA N° 32.110): soja 1,0 L/ha en presiembra anticipada/incorporada o preemergencia. Maíz solo de germoplasma templado (no tropical/subtropical).</t>
        </r>
      </text>
    </comment>
    <comment ref="F47" authorId="0" shapeId="0" xr:uid="{00000000-0006-0000-0000-00003C000000}">
      <text>
        <r>
          <rPr>
            <sz val="11"/>
            <color theme="1"/>
            <rFont val="Calibri"/>
            <charset val="1"/>
          </rPr>
          <t>======
ID#doco.KbxkbKho9ydYe52okH1Pmw
Unknown Author    (2026-10-22 19:12:00)
Precio de Capataz (flumetsulam 12 %, SC), SKU 10-01119-0, SENASA 38203. Es un producto equivalente (mismo activo y concentración) al de referencia del marbete (Preside), que no tiene precio publicado. El PDF muestra «Precio: $ X» sin moneda ni unidad; se asumió USD por L (líquidos) o kg (sólidos) por coherencia con camposimple (p. ej. paraquat 27,6 %: 3,31 acá vs 3,90 allá).</t>
        </r>
      </text>
    </comment>
    <comment ref="I47" authorId="0" shapeId="0" xr:uid="{00000000-0006-0000-0000-00003D000000}">
      <text>
        <r>
          <rPr>
            <sz val="11"/>
            <color theme="1"/>
            <rFont val="Calibri"/>
            <charset val="1"/>
          </rPr>
          <t>Completado. Antes: «Soja». El marbete de Preside (SENASA 32.110, 15/11/2019) incluye soja, maíz (solo germoplasma templado; no aplicar en tropical ni subtropical), poroto, pasturas y caña de azúcar. Se agregó maíz.</t>
        </r>
      </text>
    </comment>
    <comment ref="I48" authorId="0" shapeId="0" xr:uid="{00000000-0006-0000-0000-00003E000000}">
      <text>
        <r>
          <rPr>
            <sz val="11"/>
            <color theme="1"/>
            <rFont val="Calibri"/>
            <charset val="1"/>
          </rPr>
          <t>Completado: «barbecho». No se encontró el marbete de este producto. Los 2,4-D en microemulsión al 30 % de otras marcas (Ramex Top, de Summit Agro, y Jaspek, de Atanor) se usan contra malezas de hoja ancha en barbecho químico. Criterio adoptado: «barbecho» indica uso en barbecho químico, sin cultivo asociado. Confirmar con el marbete.</t>
        </r>
      </text>
    </comment>
    <comment ref="I49" authorId="0" shapeId="0" xr:uid="{00000000-0006-0000-0000-00003F000000}">
      <text>
        <r>
          <rPr>
            <sz val="11"/>
            <color theme="1"/>
            <rFont val="Calibri"/>
            <charset val="1"/>
          </rPr>
          <t>Completado. Fuente: catálogo de herbicidas PDF (15/10/2026): soja, maíz Enlist®, barbecho químico, cebada y trigo. El maíz y la soja son solo de tecnología Enlist (tolerantes a 2,4-D).</t>
        </r>
      </text>
    </comment>
    <comment ref="H50" authorId="0" shapeId="0" xr:uid="{00000000-0006-0000-0000-000040000000}">
      <text>
        <r>
          <rPr>
            <sz val="11"/>
            <color theme="1"/>
            <rFont val="Calibri"/>
            <charset val="1"/>
          </rPr>
          <t>======
ID#doco.MoYtNvwzSn9SQUTFxZsA8Q
Unknown Author    (2026-10-22 19:12:00)
Discrepancia en la tienda: el título dice «2,4 D 97 %» pero el logo del envase dice «2,4-D etil hexil 64,3 % EC». Verificar la concentración real en el marbete antes de calcular la dosis.</t>
        </r>
      </text>
    </comment>
    <comment ref="I50" authorId="0" shapeId="0" xr:uid="{00000000-0006-0000-0000-000041000000}">
      <text>
        <r>
          <rPr>
            <sz val="11"/>
            <color theme="1"/>
            <rFont val="Calibri"/>
            <charset val="1"/>
          </rPr>
          <t>Completado. Fuente: catálogo de herbicidas PDF (15/10/2026): áreas no cultivadas, trigo, cebada, centeno, maíz, sorgo, caña de azúcar, arroz, avena, mijo, pasturas de gramíneas, campos naturales y tratamiento precosecha.</t>
        </r>
      </text>
    </comment>
    <comment ref="F51" authorId="0" shapeId="0" xr:uid="{00000000-0006-0000-0000-000042000000}">
      <text>
        <r>
          <rPr>
            <sz val="11"/>
            <color theme="1"/>
            <rFont val="Calibri"/>
            <charset val="1"/>
          </rPr>
          <t>======
ID#doco.ayklpJNlIooNLapic6u-LA
Unknown Author    (2026-10-22 19:12:00)
Catálogo de herbicidas, SKU 10-01143-2 y 10-01559-2, SENASA 39418 y 40156. El PDF muestra «Precio: $ X» sin moneda ni unidad; se asumió USD por L (líquidos) o kg (sólidos) por coherencia con camposimple (p. ej. paraquat 27,6 %: 3,31 acá vs 3,90 allá). Dosis sin cargar: depende de la concentración. Action y Excel figuran con el mismo precio y la misma concentración: se unificaron en una fila.</t>
        </r>
      </text>
    </comment>
    <comment ref="I51" authorId="0" shapeId="0" xr:uid="{00000000-0006-0000-0000-000043000000}">
      <text>
        <r>
          <rPr>
            <sz val="11"/>
            <color theme="1"/>
            <rFont val="Calibri"/>
            <charset val="1"/>
          </rPr>
          <t>Completado. Fuente: catálogo de herbicidas PDF (15/10/2026), 2,4 D Action y 2,4 D Excel: avena, caña de azúcar, centeno, mijo, praderas, trigo, cebada, arroz y sorgo. No nombran maíz.</t>
        </r>
      </text>
    </comment>
    <comment ref="F52" authorId="0" shapeId="0" xr:uid="{00000000-0006-0000-0000-000044000000}">
      <text>
        <r>
          <rPr>
            <sz val="11"/>
            <color theme="1"/>
            <rFont val="Calibri"/>
            <charset val="1"/>
          </rPr>
          <t>======
ID#doco.B_C4ntsL_6hvrxhZ6a3E4Q
Unknown Author    (2026-10-22 19:12:00)
Catálogo de herbicidas, SKU 10-01562-0, SENASA sin dato. El PDF muestra «Precio: $ X» sin moneda ni unidad; se asumió USD por L (líquidos) o kg (sólidos) por coherencia con camposimple (p. ej. paraquat 27,6 %: 3,31 acá vs 3,90 allá). Dosis sin cargar: depende de la concentración.</t>
        </r>
      </text>
    </comment>
    <comment ref="I52" authorId="0" shapeId="0" xr:uid="{00000000-0006-0000-0000-000045000000}">
      <text>
        <r>
          <rPr>
            <sz val="11"/>
            <color theme="1"/>
            <rFont val="Calibri"/>
            <charset val="1"/>
          </rPr>
          <t>Completado: «barbecho». No se encontró el marbete de este producto. Los 2,4-D en microemulsión al 30 % de otras marcas (Ramex Top, de Summit Agro, y Jaspek, de Atanor) se usan contra malezas de hoja ancha en barbecho químico. Criterio adoptado: «barbecho» indica uso en barbecho químico, sin cultivo asociado. Confirmar con el marbete.</t>
        </r>
      </text>
    </comment>
    <comment ref="I53" authorId="0" shapeId="0" xr:uid="{00000000-0006-0000-0000-000046000000}">
      <text>
        <r>
          <rPr>
            <sz val="11"/>
            <color theme="1"/>
            <rFont val="Calibri"/>
            <charset val="1"/>
          </rPr>
          <t>Completado, PROBABLE. No encontré el marbete argentino de Gesaprim 90. Un producto equivalente de Syngenta en Brasil (Gesaprim 500) se recomienda en maíz, caña de azúcar y sorgo, y el marbete argentino de Atranex 90 WG (ADAMA, SENASA 33.950) lista maíz, sorgo y caña. Confirmar con el marbete.</t>
        </r>
      </text>
    </comment>
    <comment ref="F54" authorId="0" shapeId="0" xr:uid="{00000000-0006-0000-0000-000047000000}">
      <text>
        <r>
          <rPr>
            <sz val="11"/>
            <color theme="1"/>
            <rFont val="Calibri"/>
            <charset val="1"/>
          </rPr>
          <t>======
ID#doco.2r__jazt32xWpRhO7wYyEg
Unknown Author    (2026-10-22 19:12:00)
Catálogo de herbicidas, SKU 10-02029-0, SENASA 39665. El PDF muestra «Precio: $ X» sin moneda ni unidad; se asumió USD por L (líquidos) o kg (sólidos) por coherencia con camposimple (p. ej. paraquat 27,6 %: 3,31 acá vs 3,90 allá). Dosis sin cargar: depende de la concentración.</t>
        </r>
      </text>
    </comment>
    <comment ref="I54" authorId="0" shapeId="0" xr:uid="{00000000-0006-0000-0000-000048000000}">
      <text>
        <r>
          <rPr>
            <sz val="11"/>
            <color theme="1"/>
            <rFont val="Calibri"/>
            <charset val="1"/>
          </rPr>
          <t>Completado. Fuente: catálogo de herbicidas PDF (15/10/2026): maíz, sorgo y caña de azúcar.</t>
        </r>
      </text>
    </comment>
    <comment ref="F55" authorId="0" shapeId="0" xr:uid="{00000000-0006-0000-0000-000049000000}">
      <text>
        <r>
          <rPr>
            <sz val="11"/>
            <color theme="1"/>
            <rFont val="Calibri"/>
            <charset val="1"/>
          </rPr>
          <t>======
ID#doco.ncy1SupWwZB5TRkJXxkaEQ
Unknown Author    (2026-10-22 19:12:00)
Catálogo de herbicidas, SKU 10-02059-0, SENASA sin dato. El PDF muestra «Precio: $ X» sin moneda ni unidad; se asumió USD por L (líquidos) o kg (sólidos) por coherencia con camposimple (p. ej. paraquat 27,6 %: 3,31 acá vs 3,90 allá). Dosis sin cargar: depende de la concentración. La ficha del PDF dice «Atrazina 50 SC»; el ingrediente activo no está declarado en la composición.</t>
        </r>
      </text>
    </comment>
    <comment ref="I55" authorId="0" shapeId="0" xr:uid="{00000000-0006-0000-0000-00004A000000}">
      <text>
        <r>
          <rPr>
            <sz val="11"/>
            <color theme="1"/>
            <rFont val="Calibri"/>
            <charset val="1"/>
          </rPr>
          <t>Completado. Fuente: catálogo de herbicidas PDF (15/10/2026): maíz, sorgo y caña de azúcar.</t>
        </r>
      </text>
    </comment>
    <comment ref="F56" authorId="0" shapeId="0" xr:uid="{00000000-0006-0000-0000-00004B000000}">
      <text>
        <r>
          <rPr>
            <sz val="11"/>
            <color theme="1"/>
            <rFont val="Calibri"/>
            <charset val="1"/>
          </rPr>
          <t>======
ID#doco.dZktlkmfPxjkhqYnitSX3A
Unknown Author    (2026-10-22 19:12:00)
Catálogo de herbicidas, SKU 10-01555-2, SENASA 39118. El PDF muestra «Precio: $ X» sin moneda ni unidad; se asumió USD por L (líquidos) o kg (sólidos) por coherencia con camposimple (p. ej. paraquat 27,6 %: 3,31 acá vs 3,90 allá). Dosis sin cargar: depende de la concentración.</t>
        </r>
      </text>
    </comment>
    <comment ref="I56" authorId="0" shapeId="0" xr:uid="{00000000-0006-0000-0000-00004C000000}">
      <text>
        <r>
          <rPr>
            <sz val="11"/>
            <color theme="1"/>
            <rFont val="Calibri"/>
            <charset val="1"/>
          </rPr>
          <t>Completado. Fuente: catálogo de herbicidas PDF (15/10/2026): alfalfa, papa, soja, barbecho y algodón.</t>
        </r>
      </text>
    </comment>
    <comment ref="F57" authorId="0" shapeId="0" xr:uid="{00000000-0006-0000-0000-00004D000000}">
      <text>
        <r>
          <rPr>
            <sz val="11"/>
            <color theme="1"/>
            <rFont val="Calibri"/>
            <charset val="1"/>
          </rPr>
          <t>======
ID#doco.9Wc1puGDPe5hnI_X-jX3dA
Unknown Author    (2026-10-22 19:12:00)
Catálogo de herbicidas, SKU 10-02298-0, SENASA 41.260. El PDF muestra «Precio: $ X» sin moneda ni unidad; se asumió USD por L (líquidos) o kg (sólidos) por coherencia con camposimple (p. ej. paraquat 27,6 %: 3,31 acá vs 3,90 allá). Dosis sin cargar: depende de la concentración.</t>
        </r>
      </text>
    </comment>
    <comment ref="I57" authorId="0" shapeId="0" xr:uid="{00000000-0006-0000-0000-00004E000000}">
      <text>
        <r>
          <rPr>
            <sz val="11"/>
            <color theme="1"/>
            <rFont val="Calibri"/>
            <charset val="1"/>
          </rPr>
          <t>Completado. Fuente: descripción del producto en el catálogo de herbicidas PDF (15/10/2026): alfalfa, algodón, girasol, maní, papa, poroto y soja (convencional y RR).</t>
        </r>
      </text>
    </comment>
    <comment ref="D58" authorId="0" shapeId="0" xr:uid="{00000000-0006-0000-0000-00004F000000}">
      <text>
        <r>
          <rPr>
            <sz val="11"/>
            <color theme="1"/>
            <rFont val="Calibri"/>
            <charset val="1"/>
          </rPr>
          <t>======
ID#doco.rv1KtlfqKLiwG35AtF99wQ
Usuario    (2026-10-26 08:50:03)
Marbete DuPont Argentina «Ligate» (gránulos dispersables WG; sulfometurón metil 15 g + clorimurón etil 20 g/100 g). Fecha del marbete: no figura en el PDF. SENASA N° 36.831. Uso tomado: barbecho químico (largo, 100-120 días antes de la siembra; corto, 30-60 días) y presiembra (7-10 días antes) de soja Ligate STS, en mezcla de tanque con glifosato. Rango del marbete 90-100 g/ha → punto medio 95 g/ha = 0,095 kg/ha (conversión g/ha ÷ 1000). Es la única dosis del marbete.</t>
        </r>
      </text>
    </comment>
    <comment ref="D59" authorId="0" shapeId="0" xr:uid="{00000000-0006-0000-0000-000050000000}">
      <text>
        <r>
          <rPr>
            <sz val="11"/>
            <color theme="1"/>
            <rFont val="Calibri"/>
            <charset val="1"/>
          </rPr>
          <t>======
ID#doco.xO_ViMANNuF2D8MZJhLxCA
Usuario    (2026-10-26 08:50:03)
Marbete Agroinsumos ByL S.A. «Paraquat 27,6 Delta Agro» (concentrado soluble; dicloruro de paraquat 27,6 g/100 cm³ = 20 g/100 cm³ eq. paraquat). Fecha del marbete: no figura en el texto leído (el archivo se llama «2019-01»). SENASA N° 39.745. Uso tomado: herbicida en siembra directa / labranza cero, dosis única de 2 L/ha, sin rango ni conversión de unidades. Otras dosis del marbete (barbecho químico 1,5 L/ha en mezcla; áreas cultivadas en presiembra 1,5-3 L/ha; pasturas 1,5-3; acequias, tung 3-4 L/ha; usos como desecante en la fila siguiente) están en M. El PDF no tiene capa de texto: se leyó por OCR y por capturas de la tabla de usos; verificar contra el original. Fila separada por uso (herbicida) a pedido; la fila 61 corresponde al mismo producto como desecante.</t>
        </r>
      </text>
    </comment>
    <comment ref="F59" authorId="0" shapeId="0" xr:uid="{00000000-0006-0000-0000-000051000000}">
      <text>
        <r>
          <rPr>
            <sz val="11"/>
            <color theme="1"/>
            <rFont val="Calibri"/>
            <charset val="1"/>
          </rPr>
          <t>======
ID#doco.iNXf7NoOTQ80WAahvPVi0g
Usuario    (2026-10-26 08:50:03)
Precio indicado por el usuario: «Paraquat 27,6 % | 20 L, u$s 3,90 (3,90 u$s/L)». Es un producto equivalente (misma concentración, 27,6 %) a la marca Delta Agro del marbete, que no trae precio. La fuente original del listado no fue indicada; se asume USD por L.</t>
        </r>
      </text>
    </comment>
    <comment ref="D60" authorId="0" shapeId="0" xr:uid="{00000000-0006-0000-0000-000052000000}">
      <text>
        <r>
          <rPr>
            <sz val="11"/>
            <color theme="1"/>
            <rFont val="Calibri"/>
            <charset val="1"/>
          </rPr>
          <t>======
ID#doco.mxmyTEJDX5OYzBpfEaU96Q
Usuario    (2026-10-26 08:50:03)
Marbete Agroinsumos ByL S.A. «Paraquat 27,6 Delta Agro» (concentrado soluble; dicloruro de paraquat 27,6 g/100 cm³ = 20 g/100 cm³ eq. paraquat). Fecha del marbete: no figura en el texto leído (el archivo se llama «2019-01»). SENASA N° 39.745. Uso tomado: desecante en soja (granos fisiológicamente maduros), rango 1-2 L/ha → punto medio 1,5 L/ha. No hubo conversión de unidades. Otras dosis como desecante o defoliante (sorgo 1,5-2 L/ha; algodón 0,7-1 L/ha como defoliante; alfalfa, alpiste, arveja, lenteja y poroto 1-2; papa 1,5-2,5 L/ha) están en M; la dosis del maíz como desecante no se pudo leer. El PDF no tiene capa de texto: se leyó por OCR y por capturas de la tabla de usos; verificar contra el original. Fila separada por uso (desecante) a pedido; la fila 60 corresponde al mismo producto como herbicida.</t>
        </r>
      </text>
    </comment>
    <comment ref="F60" authorId="0" shapeId="0" xr:uid="{00000000-0006-0000-0000-000053000000}">
      <text>
        <r>
          <rPr>
            <sz val="11"/>
            <color theme="1"/>
            <rFont val="Calibri"/>
            <charset val="1"/>
          </rPr>
          <t>======
ID#doco.at8EsqjxMdCdtvx40fGyyg
Usuario    (2026-10-26 08:50:03)
Precio indicado por el usuario: «Paraquat 27,6 % | 20 L, u$s 3,90 (3,90 u$s/L)». Es un producto equivalente (misma concentración, 27,6 %) a la marca Delta Agro del marbete, que no trae precio. La fuente original del listado no fue indicada; se asume USD por L.</t>
        </r>
      </text>
    </comment>
    <comment ref="D61" authorId="0" shapeId="0" xr:uid="{00000000-0006-0000-0000-000054000000}">
      <text>
        <r>
          <rPr>
            <sz val="11"/>
            <color theme="1"/>
            <rFont val="Calibri"/>
            <charset val="1"/>
          </rPr>
          <t>======
ID#doco.wpq2W9vonSoCEJ5tUV01Qg
Usuario    (2026-10-26 08:50:03)
Marbete BASF Argentina S.A. «Heat» (gránulos dispersables WG; saflufenacil 70 g/100 g = 700 g/kg). Fecha del marbete: no figura (solo código de arte «REV05-OUT20»). SENASA N° 35.954. Uso tomado: barbecho químico o quemado previo a la siembra de soja y maíz, 70 g/ha de producto formulado → 0,07 kg/ha (conversión g/ha ÷ 1000), siempre en mezcla con glifosato (1080 g eq. ác./ha) y ésteres metílicos de aceite vegetal. Solo para suelos de textura fina. Otras dosis del marbete (35 g/ha = 0,035 kg/ha en soja, maní, maíz, sorgo, trigo y cebada según tabla, y en precosecha de algodón y girasol; 70 g/ha en precosecha de soja, garbanzo, poroto y arveja; 35 g/ha en eucalipto y frutales) están en M. Datos complementarios de la hoja de seguridad BASF del 17/09/2015, indicados en N y O. Precio en F: indicado por el usuario.</t>
        </r>
      </text>
    </comment>
    <comment ref="F61" authorId="0" shapeId="0" xr:uid="{00000000-0006-0000-0000-000055000000}">
      <text>
        <r>
          <rPr>
            <sz val="11"/>
            <color theme="1"/>
            <rFont val="Calibri"/>
            <charset val="1"/>
          </rPr>
          <t>======
ID#doco.YsF82WR4s1CcAuSPPHLBHQ
Usuario    (2026-10-26 08:50:03)
Precio indicado por el usuario: «HEAT – Saflufenacil 70 % | frasco 350 g, u$s 115,00 (115 u$s/unidad)». Se convierte a USD por kg: 115 / 0,35 kg = 328,57 USD/kg. La fuente original del listado no fue indicada.</t>
        </r>
      </text>
    </comment>
  </commentList>
</comments>
</file>

<file path=xl/sharedStrings.xml><?xml version="1.0" encoding="utf-8"?>
<sst xmlns="http://schemas.openxmlformats.org/spreadsheetml/2006/main" count="809" uniqueCount="337">
  <si>
    <t>Nombre</t>
  </si>
  <si>
    <t>Tipo</t>
  </si>
  <si>
    <t>Causa asociada</t>
  </si>
  <si>
    <t>Dosis de referencia (por ha)</t>
  </si>
  <si>
    <t>Unidad de dosis</t>
  </si>
  <si>
    <t>Precio aproximado (USD por L o kg)</t>
  </si>
  <si>
    <t>Marca</t>
  </si>
  <si>
    <t>Cultivos asociados</t>
  </si>
  <si>
    <t>Estado</t>
  </si>
  <si>
    <t>Grupo de variantes</t>
  </si>
  <si>
    <t>Variante</t>
  </si>
  <si>
    <t>Observaciones del marbete</t>
  </si>
  <si>
    <t>Restricciones ambientales</t>
  </si>
  <si>
    <t>Instrucciones de seguridad</t>
  </si>
  <si>
    <t>Fecha / fuente del precio</t>
  </si>
  <si>
    <t>Nota de precio</t>
  </si>
  <si>
    <t>Costo aprox. por ha (USD)</t>
  </si>
  <si>
    <t>Confiabilidad</t>
  </si>
  <si>
    <t>Concentración</t>
  </si>
  <si>
    <t>Glifosato</t>
  </si>
  <si>
    <t>herbicida</t>
  </si>
  <si>
    <t>interferencia_vegetacion</t>
  </si>
  <si>
    <t>L/ha</t>
  </si>
  <si>
    <t>Genérico</t>
  </si>
  <si>
    <t>66,2 % sal (54 % eq. ac.)</t>
  </si>
  <si>
    <t>soja, maiz, algodon, sorgo</t>
  </si>
  <si>
    <t>Recomendado por el motor</t>
  </si>
  <si>
    <t>Líquido 54 % eq. ac. — genérico</t>
  </si>
  <si>
    <t>Tóxico para organismos acuáticos. No contaminar cursos de agua, embalses ni fuentes de agua.</t>
  </si>
  <si>
    <t>Usar protector facial, guantes, botas de goma, camisa y pantalón de manga larga durante preparación y aplicación. No ingerir ni inhalar. Lavar la piel expuesta con agua y jabón al finalizar.</t>
  </si>
  <si>
    <t>camposimple.com.ar, 10/2026</t>
  </si>
  <si>
    <t>PDF HU-R4-05 (2026-10): 3,50 USD/L — glifosato 48 % SL, bidón 20 L. Fuente citada: CASAFE Lista 2026-S1; AgroNEA Resistencia. Confianza PDF: alta. Difiere del precio de esta fila (camposimple, 54 % eq. ac.).</t>
  </si>
  <si>
    <t>Power Plus II</t>
  </si>
  <si>
    <t>64,5 g/100 ml (54 g/100 ml eq. ácido, mezcla de sales potásica y amónica), concentrado soluble</t>
  </si>
  <si>
    <t>soja, maiz</t>
  </si>
  <si>
    <t>Pendiente</t>
  </si>
  <si>
    <t>Líquido 64,5 g/100 ml (54 g/100 ml eq. ác.) — Power Plus II</t>
  </si>
  <si>
    <t>Herbicida no selectivo (grupo G), sistémico, posemergente, para malezas anuales y perennes en áreas agrícolas, industriales, caminos y vías férreas alejadas de viviendas. Presiembra de soja, maíz y girasol: siembra convencional, con alta infestación de sorgo de Alepo, dejarlo crecer a 30-40 cm y aplicar como mínimo 1,7 L/ha (cama de siembra 5-7 días después); siembra directa, en soja de segunda esperar 2-3 días tras la cosecha anterior y aplicar 1,7-3,1 L/ha según malezas y estado de desarrollo. Cultivos RG: soja, una aplicación a los 30-45 días de emergencia con malezas de 2-4 hojas, con posible segunda aplicación; maíz, cuando las malezas anuales alcanzan 15 cm como máximo y el maíz está en V4, sin aplicar después de 8 hojas (sin dosis indicada para estos usos). Dosis (malezas anuales con menos de 15 cm): gramíneas 1,6-2,5 L/ha (capín, pasto cañada, cebadilla criolla, cola de zorro, pasto cuaresma) y latifoliadas 1,6-2,9 L/ha (yuyo colorado, quinoa, enredadera anual, sanguinaria, chamico, amor seco); perennes 1,7-4 L/ha: sorgo de Alepo no resistente 1,7-3,1; gramón, cebollín, cipero, camalote y yuyo sapo 2,9-4,0. Precosecha de trigo: 1,7-2 L/ha para sorgo de Alepo (humedad del grano ≤ 30 %). Terrestre 60-100 L/ha con 20-30 gotas/cm², pastillas de abanico plano a 25-40 lb/pulg²; mochila 0,9-1,8 L en 99-98 L de agua; CDA al 10 %; aéreo 15-30 L/ha (no mezclar con 2,4-D sal amina a esos volúmenes). Ya incluye surfactante (solo no iónico con aguas muy duras o salobres). Esperar 3 días (anuales) o 4-5 (perennes) antes de dañar mecánicamente las malezas. No pulverizar si se prevé lluvia en 6 h ni con follaje mojado. Sin efecto residual: complementar con residuales o selectivos para malezas de semilla. Compatible con herbicidas residuales o sistémicos CS/EC; con SC, floables, gránulos dispersables y polvos mojables se retrasa la actividad. Con 2,4-D sal amina usar al menos 60 L de agua/ha, sin sulfato de amonio ni más productos en el caldo. No almacenar ni aplicar en recipientes de hierro galvanizado o acero común.</t>
  </si>
  <si>
    <t>Abejas: virtualmente no tóxico. Aves: prácticamente no tóxico. Organismos acuáticos: prácticamente no tóxico. No contaminar fuentes de agua de riego o de uso doméstico; el caldo remanente y el agua de lavado no deben arrojarse a canales, acequias ni arroyos: asperjarlos sobre campo arado o camino de tierra alejado de viviendas. Evitar que la pulverización llegue a algodón, tabaco, girasol, frutales, hortalizas y ornamentales. Sin período de carencia establecido; si el cultivo se exporta, conocer el límite máximo del país de destino y su período de carencia. Se inactiva en el suelo y no tiene efecto residual: se puede sembrar cualquier cultivo después. Baja volatilidad. Hoja de seguridad Atanor (Rev. 03): peces CL50 mayor a 100 mg/L; aves (codorniz) DL50 mayor a 2000 mg/kg; abejas DL50 mayor a 100 µg/abeja; persistencia en suelo DT50 de 3 a 174 días según clima y suelo.</t>
  </si>
  <si>
    <t>Clase IV (OMS 2009): normalmente no ofrece peligro («Cuidado»). Categoría inhalatoria II (nocivo); no irritante dermal; moderado irritante ocular (cat. III); no sensibilizante dermal. Usar ropa y elementos de protección adecuados y anteojos de protección; evitar el contacto con ojos, piel y ropa; no aspirar las gotas. No fumar, beber ni comer en el área de trabajo; no destapar picos con la boca. Lavarse con agua y jabón después de manipular y lavar la ropa por separado. Reingreso al área tratada: 24 horas. Hoja de seguridad Atanor (Rev. 03): en trabajos de rutina usar antiparras, guantes y ropa protectora impermeable (goma); en condiciones normales no requiere máscara; mantener ventilación y lavaojos cerca. DL50 oral y dérmica en ratas mayor a 5000 mg/kg; inhalatoria cat. II (nocivo).</t>
  </si>
  <si>
    <t>Dosis según marbete</t>
  </si>
  <si>
    <t>Roundup Top</t>
  </si>
  <si>
    <t>57,5 % eq. ac.</t>
  </si>
  <si>
    <t>Líquido 57,5 % eq. ac. — Roundup Top</t>
  </si>
  <si>
    <t>Herbicida a base de glifosato (sal potásica, 57,5 % eq. ác.) para barbecho químico. Volumen de caldo: 60-100 L/ha. Dosis según el tipo de maleza: 1,5 L/ha para malezas anuales en roseta o de tamaño pequeño, activas, de menos de 10-15 cm de altura (rama negra, yuyo colorado, pasto cuaresma); 2,0 L/ha para malezas perennes o en desarrollo intermedio, como sorgo de Alepo de rizoma, aplicando con 30-50 cm de altura y antes de floración; 2,5-2,8 L/ha para malezas perennes rústicas o difíciles (cebollín, gramón), dosis máxima del marbete para parches o alta infestación. El marbete no se leyó directamente; los datos de uso fueron transcriptos por el usuario.</t>
  </si>
  <si>
    <t>kg/ha</t>
  </si>
  <si>
    <t>Glifomax GS</t>
  </si>
  <si>
    <t>75,7 % granulado</t>
  </si>
  <si>
    <t>barbecho, soja, maiz</t>
  </si>
  <si>
    <t>Granulado 75,7 % — Glifomax GS</t>
  </si>
  <si>
    <t>Pre-siembra de soja, maíz y girasol (siembra directa). Malezas anuales 1–1,5 kg/ha; perennes 1,25–2,05 kg/ha. Sin período de carencia.</t>
  </si>
  <si>
    <t>Ligeramente tóxico para organismos acuáticos. No contaminar fuentes de agua de riego o uso doméstico.</t>
  </si>
  <si>
    <t>Usar ropa protectora, guantes impermeables, protección facial y botas de goma. No comer, beber ni fumar durante el manipuleo. Lavarse con abundante agua y jabón después del tratamiento.</t>
  </si>
  <si>
    <t>Power Maxx</t>
  </si>
  <si>
    <t>75,7 g/100 g (68,8 g/g eq. ácido, sal de amonio), gránulos solubles (SG)</t>
  </si>
  <si>
    <t>Granulado 75,7 % — Power Maxx</t>
  </si>
  <si>
    <t>Herbicida no selectivo (grupo G), sistémico, posemergente, para malezas anuales y perennes en áreas agrícolas, industriales, caminos y vías férreas. Presiembra de soja, maíz y girasol: siembra convencional, con alta infestación de sorgo de Alepo, dejarlo crecer a 30-50 cm y aplicar 1,3 kg/ha (arar en invierno y pasar rastra de doble acción; cama de siembra 5-7 días después); siembra directa, en soja de segunda esperar 2-3 días tras la cosecha anterior y aplicar 1-1,3 kg/ha. En soja RR muestra total selectividad a las dosis comunes. Dosis anuales (más susceptibles con menos de 15 cm): gramíneas 1-1,5 kg/ha (capín, pasto cañada, cebadilla criolla, cola de zorro, pasto cuaresma); latifoliadas 1,25-2,05 kg/ha (yuyo colorado, quinoa, enredadera anual, sanguinaria, chamico, amor seco). Perennes, entre inicio y plena floración con malezas en activo crecimiento: sorgo de Alepo 1,25-2,05 kg/ha; gramón, cebollín, junquillo, pasto guinea y yuyo sapo 2,5-3 kg/ha. Precosecha de trigo: 1,3 kg/ha para sorgo de Alepo (humedad del grano ≤ 30 %). Terrestre: 80-120 L/ha de agua, pastillas de abanico plano, 25-40 lb/pulg²; mochila 1-2 kg en 100 L de agua; CDA al 10 % (1 kg + 9 L); aéreo 15-30 L/ha, pero está prohibida la aplicación aérea en soja transgénica. Ya incluye surfactante (solo no iónico con aguas duras o salobres); corregir la dureza del agua y usar pH neutro o levemente ácido. Esperar 3 días (anuales) o 4-5 (perennes) antes de dañar mecánicamente las malezas. No pulverizar si se prevé lluvia en 6 h ni con follaje mojado. Sin efecto residual: complementar con residuales o selectivos para malezas de semilla. Compatible con herbicidas residuales o sistémicos CS/EC; con suspensiones acuosas, floables, gránulos dispersables y polvos mojables se retrasa la actividad. Preparar y aplicar solo en tanques de acero inoxidable, aluminio, fibra de vidrio o plástico.</t>
  </si>
  <si>
    <t>Abejas: virtualmente no tóxico. Aves: prácticamente no tóxico. Peces: ligeramente tóxico; no contaminar fuentes de agua de riego o de uso doméstico. Se inactiva en el suelo y queda fuertemente retenido: es improbable la contaminación de napas o cursos de agua; no se acumula en tejidos animales. Sin restricciones de carencia; si el cultivo se exporta, conocer el límite máximo de residuos del país de destino y su período de carencia. Se puede sembrar cualquier cultivo después de la aplicación. Baja volatilidad. Evitar que la pulverización llegue a tabaco, girasol, hortalizas, árboles y arbustos ornamentales. Los restos de caldo y el agua de lavado no deben arrojarse a canales, acequias ni arroyos: asperjarlos sobre campo arado o camino de tierra alejado de viviendas. Hoja de seguridad (Rev. 01): rápidamente biodegradable y no persistente en el suelo.</t>
  </si>
  <si>
    <t>Clase IV (OMS 2009): normalmente no ofrece peligro («Cuidado»). Toxicidad inhalatoria cat. II (nocivo); no irritante dermal; moderado irritante ocular (cat. III); no sensibilizante dermal. Usar ropa y elementos de protección adecuados y anteojos de seguridad; evitar el contacto con ojos, piel y ropa; no aspirar las gotas. No fumar, beber ni comer en el área de trabajo; no destapar picos con la boca. Lavarse con agua y jabón después de manipular y lavar la ropa por separado. Reingreso al área tratada: 24 horas. Hoja de seguridad (Rev. 01): usar traje protector, camisa de mangas largas, pantalones largos, delantal, botas de goma, guantes de nitrilo, protector facial, máscara y anteojos; lavar la ropa por separado. DL50 oral y dérmica mayor a 5000 mg/kg; inhalatoria CL50 mayor a 0,85 mg/L (cat. II, nocivo).</t>
  </si>
  <si>
    <t>Roundup Control Max</t>
  </si>
  <si>
    <t>79,2 g/100 g (72 % p/p eq. ácido, sal monoamónica), gránulos solubles</t>
  </si>
  <si>
    <t>soja, maiz, algodon</t>
  </si>
  <si>
    <t>Granulado 79,2 % — Roundup Control Max</t>
  </si>
  <si>
    <t>Herbicida (grupo G) para el control posemergente de malezas gramíneas, ciperáceas y de hoja ancha; en posemergencia de soja RR, maíz y maíz dulce RR, algodón RR y alfalfa RR. Presiembra de soja, maíz y girasol: siembra convencional, con alta infestación de sorgo de Alepo, dejarlo crecer a 30-50 cm y aplicar 1,25-1,5 kg/ha (arar en invierno y pasar rastra de doble acción al inicio de la primavera para trozar rizomas); siembra directa, esperar 2-3 días tras la cosecha y aplicar 1,25-1,5 kg/ha. Algodón RR posemergencia: con malezas de hasta 7 cm y algodón de hasta 4 hojas expandidas, hasta dos aplicaciones de máximo 1,4 kg/ha cada una, con un intervalo que permita al algodón crecer al menos dos nudos; no aplicar entre 5 hojas y 20 % de apertura de frutos; precosecha en cobertura total con 20 % de apertura de bochas, hasta 2,5 kg/ha. Dosis en algodón por maleza (estado vegetativo / precosecha): bejuco y cebollín 1,4 / 2,5 kg/ha; chamico, chinchilla, quinoa, verdolaga y yuyo colorado 1,1-1,4 / 1,4-2,5; pasto cuaresma y capín 1,1-1,4 / 1,4-2,0; gramón 1,4 / 2,5; sorgo de Alepo 1,1-1,4 / 2,5 (precosecha para malezas adultas). Malezas anuales (más susceptibles con menos de 15 cm): gramíneas 1-1,5 kg/ha (capín, pasto cañada, cebadilla criolla, cola de zorro, pasto cuaresma) y latifoliadas 1,25-2 kg/ha (yuyo colorado, quinoa, enredadera anual, sanguinaria, chamico, amor seco). Perennes 1,25-3 kg/ha según especie: sorgo de Alepo 1,25-2; gramón, cebollín, cipero/junquillo, camalote y yuyo sapo 3. Compatible con herbicidas residuales o sistémicos CS/EC; con suspensiones acuosas, floables, gránulos dispersables y polvos mojables se retrasa la actividad: consultar. No tiene efecto residual; para malezas de semilla complementar con herbicidas residuales u hormonales o selectivos. Puede aplicarse en cultivos implantados si se protegen las partes verdes. Sin fitotoxicidad con buenas prácticas agrícolas. Preparar y aplicar solo en recipientes de acero inoxidable, aluminio, fibra de vidrio o plástico (no acero galvanizado).</t>
  </si>
  <si>
    <t>Aves: prácticamente no tóxico. Abejas: virtualmente no tóxico. Peces y organismos acuáticos: ligeramente tóxico. Se inactiva en el suelo, donde queda fuertemente retenido: es improbable la contaminación de napas freáticas o cursos de agua; no se acumula en los tejidos animales. Sin período de carencia (uso posicionado). En alfalfa RR: al menos 5 días entre la última aplicación y el corte o el ingreso de animales. Si el cultivo se exporta, conocer el límite máximo de residuos del país de destino y su período de carencia. Se puede sembrar cualquier cultivo después de la aplicación. Baja volatilidad: reduce el peligro de dañar plantaciones y sembrados vecinos. Enjuagar el equipo evitando contaminar agua de riego o de uso doméstico. Remanentes sin diluir: mezclar con agua al 5-10 % y aplicar sobre alambrados y zonas no cultivadas. Hoja de seguridad (revisión 24/02/2022): peces CL50 102 mg/L (pez zebra); dafnia CE50 mayor a 93 mg/L; algas verdes CE50 51 mg/L; no se bioacumula (FBC menor a 1); glifosato no rápidamente biodegradable.</t>
  </si>
  <si>
    <t>Clase IV: normalmente no ofrece peligro («Cuidado»). Moderado irritante ocular (cat. III); toxicidad inhalatoria: nocivo (cat. II). Usar protector facial, antiparras, botas, guantes y ropa apropiada. Mezclar al aire libre; no pulverizar en días ventosos. No comer, fumar ni beber durante el uso; lavarse las manos y limpiar el equipo de protección al terminar. Reingreso al área tratada: mínimo 12 horas. Hoja de seguridad (24/02/2022): leve irritante dérmico y leve irritante ocular (el marbete indica moderado irritante ocular, cat. III); inhalatoria CL50 no alcanzada, sin mortalidad. En uso normal el equipo de protección no se requiere más allá de la etiqueta; con riesgo de exposición incontrolada, usar protección respiratoria con filtro de partículas (FFP3 o P3) y guantes de caucho de nitrilo (permeabilidad mayor a 480 min, espesor mayor a 0,4 mm).</t>
  </si>
  <si>
    <t>Super Estrella GR 79,2</t>
  </si>
  <si>
    <t>79,2 % granulado (720 g/kg eq. ácido)</t>
  </si>
  <si>
    <t>Granulado 79,2 % — Super Estrella GR 79,2</t>
  </si>
  <si>
    <t>Catálogo herbicidas PDF 15/10/2026 (proveedor sin identificar)</t>
  </si>
  <si>
    <t>Super Estrella II</t>
  </si>
  <si>
    <t>65 % (530 g/L eq. ácido, sal potásica)</t>
  </si>
  <si>
    <t>Líquido 65 % (530 g/L eq. ác.) — Super Estrella II</t>
  </si>
  <si>
    <t>Estrella Aurum</t>
  </si>
  <si>
    <t>64,7 % (480 g/L eq. ácido, sal isopropilamina)</t>
  </si>
  <si>
    <t>Líquido 64,7 % (480 g/L eq. ác.) — Estrella Aurum</t>
  </si>
  <si>
    <t>Estrella Aurum II</t>
  </si>
  <si>
    <t>58,8 % (480 g/L eq. ácido, sal potásica)</t>
  </si>
  <si>
    <t>Líquido 58,8 % (480 g/L eq. ác.) — Estrella Aurum II</t>
  </si>
  <si>
    <t>Roundup</t>
  </si>
  <si>
    <t>48 g/100 cm³ (36 g/100 cm³ eq. ácido, sal isopropilamina), concentrado soluble</t>
  </si>
  <si>
    <t>Concentrado soluble 48 g/100 cm³ (36 g/100 cm³ eq. ác.) — Roundup</t>
  </si>
  <si>
    <t>Herbicida no selectivo, sistémico, posemergente. Presiembra de soja y maíz, con siembra convencional o directa (uso posicionado): 2,5 L/ha. Convencional: con alta infestación de sorgo de Alepo, dejarlo crecer a 30-50 cm y aplicar; cama de siembra 5-7 días después. Directa: esperar 2-3 días tras la cosecha anterior y aplicar sobre las malezas del rastrojo. Otras dosis: gramíneas anuales 2-3 L/ha (capín, pasto cañada, cola de zorro, pasto cuaresma, cebadilla criolla) y latifoliadas anuales 2,5-4 L/ha (yuyo colorado, quinoa, enredadera anual, sanguinaria, chamico, amor seco), mejor con malezas de menos de 15 cm; perennes 2,5-6 L/ha: sorgo de Alepo 2,5-4, gramón, cebollín, cipero/junquillo, camalote y yuyo sapo 6. También precosecha de trigo (2,5 L/ha, sorgo de Alepo, doble cultivo trigo-soja). Aplicar sobre malezas en activo crecimiento, sin estrés; no pulverizar si se prevé lluvia en 6 h ni con follaje mojado. Esperar 3 días (anuales) o 4-5 (perennes) antes de dañar mecánicamente las malezas. Terrestre 80-120 L/ha de caldo; aéreo 15-30 L/ha. Ya incluye surfactante (solo no iónico con aguas duras). Compatible con herbicidas residuales o sistémicos CS/EC; con SC, FS, WG o WP se retrasa la actividad: consultar. En barbecho o presiembra se recomienda sumar un residual selectivo. Preparar y aplicar solo en recipientes de acero inoxidable, aluminio, fibra de vidrio o plástico (no acero galvanizado).</t>
  </si>
  <si>
    <t>Aves: prácticamente no tóxico. Abejas: virtualmente no tóxico. Peces y organismos acuáticos: moderadamente tóxico. Enjuagar el equipo evitando contaminar agua de riego o de uso doméstico. Se inactiva en el suelo y no tiene efecto residual: se puede sembrar cualquier cultivo después. Sin período de carencia establecido. Si el cultivo se exporta, conocer el límite máximo de residuos del país de destino y su período de carencia. Muy baja volatilidad. Zonas no agrícolas (caminos, vías): lejos de viviendas y tránsito de personas.</t>
  </si>
  <si>
    <t>Clase IV (banda verde, «Cuidado»): normalmente no ofrece peligro. Irritante dérmico leve (cat. IV), irritante ocular moderado (cat. III), toxicidad inhalatoria cat. III. Usar protector facial, antiparras, guantes, botas y ropa de protección. Mezclar al aire libre; no pulverizar en días ventosos. No comer, fumar ni beber durante el uso; lavarse las manos y limpiar el equipo de protección al terminar.</t>
  </si>
  <si>
    <t>Panzer Gold ST</t>
  </si>
  <si>
    <t>60,8 g/100 cm³ (48 g/100 cm³ eq. ácido, sal dimetilamina), concentrado soluble</t>
  </si>
  <si>
    <t>Concentrado soluble 60,8 g/100 cm³ (48 g/100 cm³ eq. ác.) — Panzer Gold ST</t>
  </si>
  <si>
    <t>Herbicida no selectivo, sistémico, posemergente (grupo 9). Presiembra de soja y maíz (uso posicionado): 2 L/ha. Convencional: con alta infestación de sorgo de Alepo, dejarlo crecer a 30-50 cm y aplicar; cama de siembra 5-7 días después. Directa (soja de segunda): esperar 2-3 días tras la cosecha anterior y aplicar. Siembra directa en general: 2-4,5 L/ha según malezas, con 80-100 L de agua/ha, antes o inmediatamente después de la implantación. Posemergencia en cultivos GM resistentes a glifosato: soja 1,5 L/ha a los 30-45 días de emergencia con malezas de 2-4 hojas (segunda aplicación 1-1,5 L/ha); maíz 1,8 L/ha en V4 con malezas de hasta 15 cm (hasta 3,6 L/ha si son mayores; segunda aplicación 1,1-1,4 L/ha; no aplicar después de 8 hojas); algodón hasta 2 aplicaciones de 2 L/ha con malezas de hasta 7 cm y algodón de hasta 4 hojas (intervalo de al menos 2 nudos adicionales; no aplicar entre 5 hojas y 20 % de apertura de frutos); precosecha de algodón con 20 % de apertura de frutos: hasta 3,5 L/ha. Selectivo solo en soja, algodón y maíz GM resistentes a glifosato. Aplicación selectiva con soga (22,5 %) o rodillo (7,5 %) en soja convencional, maní, algodón, papa, batata y pasturas, para malezas que superan al cultivo en 15-20 cm: 200-600 cm³/ha. Dosis por maleza: gramíneas anuales 1,5-2,25 L/ha y latifoliadas anuales 2-3 L/ha (mejor con menos de 15 cm); perennes: sorgo de Alepo 2-3 L/ha, camalote, cebollín, cipero, gramón y yuyo sapo 4,5 L/ha. Precosecha de trigo: 2 L/ha para sorgo de Alepo (humedad del grano ≤ 22,5 %). Terrestre 80-120 L/ha de caldo; aéreo 15-30 L/ha, solo en superficies grandes y sin cultivos sensibles cerca. Ya incluye surfactante. Con aguas duras, corregir la dureza antes; pH neutro o levemente ácido. Esperar 3 días (anuales) o 4-5 (perennes) antes de roturar. No pulverizar si se prevé lluvia en 6 h. Compatible con herbicidas residuales o sistémicos CS/EC; con SC, FS, WG o WP se retrasa la actividad: consultar. Para malezas de semilla se recomienda un residual posterior. Preparar y aplicar solo en recipientes de acero inoxidable, aluminio, plástico, fibra de vidrio o acero recubierto con plástico.</t>
  </si>
  <si>
    <t>Peces: ligeramente tóxico; no contaminar cursos de agua naturales o artificiales y evitar la deriva. Aves: prácticamente no tóxico. Abejas: virtualmente no tóxico. Período de carencia: no presenta (uso posicionado). Se inactiva en el suelo y no tiene efecto residual: se puede sembrar cualquier cultivo después. Si el cultivo se exporta, conocer el límite máximo de residuos del país de destino y su período de carencia. Baja volatilidad, pero evitar que la pulverización llegue a cultivos cercanos y plantas susceptibles; en aplicación aérea, dejar espacios adecuados con cultivos adyacentes. Aplicar lejos de viviendas, centros poblados y lugares de tránsito frecuente de personas. No reutilizar el caldo remanente: eliminarlo sin contaminar aguas cercanas. Sospecha de resistencia: notificar al SINAVIMO. Hoja de seguridad Corteva (22/09/2020): abejas DL50 oral y por contacto mayor a 250 µg/abeja; codorniz japonesa DL50 oral mayor a 2250 mg/kg; lombrices CL50 mayor a 996,6 mg/kg; ligeramente tóxico para peces y organismos acuáticos.</t>
  </si>
  <si>
    <t>Clase IV («Cuidado»): normalmente no ofrece peligro. Irritante dermal moderado (cat. III), irritante ocular moderado (cat. III), toxicidad inhalatoria cat. III. Usar antiparras, barbijo, guantes impermeables, pantalón, camisa de manga larga y botas de goma. No comer, beber ni fumar durante el manipuleo; no destapar picos ni boquillas con la boca. Después: lavarse con agua y jabón, lavar la ropa de trabajo por separado. Reingreso al área tratada: 24 horas (antes, solo con equipo de protección adecuado). Hoja de seguridad Corteva (22/09/2020): usar gafas tipo motorista (goggles) y guantes químicamente resistentes (butilo, látex, neopreno, nitrilo, polietileno, EVAL o PVC); irritación ocular moderada, un contacto breve puede irritar moderadamente la piel y hay potencial de alergia de contacto en ratones.</t>
  </si>
  <si>
    <t>Sulfosato Touchdown</t>
  </si>
  <si>
    <t>62 g/100 cm³ (506 g/L eq. ácido, sal potásica), concentrado soluble (SL)</t>
  </si>
  <si>
    <t>Concentrado soluble 62 g/100 cm³ (506 g/L eq. ác.) — Sulfosato Touchdown</t>
  </si>
  <si>
    <t>Herbicida posemergente, sistémico (grupo G), para barbecho y labranza química; selectivo en algodón, soja y maíz transgénicos resistentes a glifosato (RG). Barbecho/labranza química (uso principal, uso posicionado): gramíneas anuales 1,5-2,3 L/ha (braquiaria, capín arroz, cebadilla criolla, cola de zorro, maíz y trigo guacho, pasto cuaresma, pasto colorado); latifoliadas anuales 1,9-3,0 L/ha (amor seco, cardo, chamico, quinoa, yuyo colorado, sanguinaria y otras); las anuales son más susceptibles con menos de 15 cm (dosis menores). Perennes: sorgo de Alepo 1,5-3,0 L/ha; cebollín, chufa, gramón, cerraja, coregüela, lagunilla y otras 3,0-4,5 L/ha; pasto guinea y yuyo sapo 4,0 L/ha. Malezas tolerantes (rama negra, flor de Santa Lucía, senecio, siempre viva): doble knock down, 3 L/ha + 2,4-D éster 1 L/ha, seguido a los 7-14 días de paraquat + diurón (Cerillo) 2,5 L/ha con coadyuvante. Soja RG: primera aplicación a los 30-45 días de emergencia o con malezas de 2-4 hojas, 1,1-1,5 L/ha (sorgo de Alepo 1,5-2,3 L/ha); puede necesitar segunda aplicación. Maíz RG: 1,8 L/ha en V4 con malezas de 15 cm o más (hasta 3,5 L/ha si son mayores); segunda aplicación 1,1-1,4 L/ha; no aplicar después de 8 hojas; puede mezclarse con S-metolacloro y atrazina si se necesita residual. Algodón RG: hasta 2 aplicaciones de 1,9 L/ha con malezas de hasta 7 cm y algodón de hasta 4 hojas (intervalo de al menos 2 nudos adicionales; no aplicar entre 5 hojas y 20 % de apertura de frutos); precosecha con 20 % de apertura: hasta 3,3 L/ha. Trigo en precosecha con grano de humedad ≤ 30 % (sin dosis indicada). Terrestre: 100 L de agua/ha, 20-30 gotas/cm², 1,7-3,5 bar; soga al 33 % v/v. Aplicar sobre malezas en activo crecimiento, sin estrés ni cubiertas de tierra; no aplicar con altas temperaturas, baja humedad, rocío, lluvia inminente ni viento de más de 10 km/h. Usar el caldo dentro de las 24 h. No controla sorgo de Alepo resistente a glifosato. Compatible con la mayoría de los agroquímicos; probar la mezcla a pequeña escala.</t>
  </si>
  <si>
    <t>Peces: ligeramente tóxico, no se acumula en organismos acuáticos; dejar una franja de seguridad sin tratar entre el área y el agua libre, y no contaminar agua de riego, de uso doméstico, lagos, lagunas ni diques. Aves: prácticamente no tóxico. Abejas: virtualmente no tóxico. Evitar la deriva hacia cultivos linderos, vegetación no objetivo, fuentes hídricas y áreas pobladas; en cultivos intensivos usar cortinas protectoras. Rotación: se puede sembrar o plantar cualquier cultivo inmediatamente después (se inactiva en el suelo, sin residualidad). Sin período de carencia por uso posicionado; si el cultivo se exporta, conocer el límite máximo de residuos del país de destino y su período de carencia. No reutilizar el caldo remanente. No aplicar, drenar ni enjuagar el equipo cerca de plantas deseables.</t>
  </si>
  <si>
    <t>Clase IV (banda verde): normalmente no ofrece peligro. Nocivo si se ingiere o se absorbe por la piel. No irritante dermal; leve irritante ocular (cat. IV); sensibilizante dermal. Usar pantalón largo y camisa de manga larga o mameluco, guantes impermeables, botas de goma y anteojos de seguridad. No comer, beber ni fumar durante el manipuleo; no destapar picos ni boquillas con la boca. Después: cambiar y lavar la ropa de inmediato y lavarse con agua y jabón. Reingreso: no ingresar al área tratada hasta que el producto se haya secado sobre las hojas.</t>
  </si>
  <si>
    <t>YPF Glifosato Concentrado HA</t>
  </si>
  <si>
    <t>Concentrado soluble 64,5 g/100 ml (54 g/100 ml eq. ác.) — YPF Glifosato Concentrado HA</t>
  </si>
  <si>
    <t>Herbicida no selectivo (grupo G), sistémico, posemergente. Presiembra de soja, maíz y girasol: siembra convencional, con alta infestación de sorgo de Alepo, dejarlo crecer a 30-40 cm y aplicar como mínimo 1,7 L/ha (cama de siembra 5-7 días después); siembra directa, antes o inmediatamente después de la implantación, en soja de segunda esperar 2-3 días tras la cosecha anterior y aplicar 1,7-3,1 L/ha según malezas y estado de desarrollo. Posemergencia en cultivos RG (resistentes a glifosato): soja, una aplicación a los 30-45 días de emergencia con malezas de 2-4 hojas, con posible segunda aplicación; maíz, cuando las malezas anuales alcanzan 15 cm como máximo y el maíz está en V4, sin aplicar después de 8 hojas (el marbete no da dosis para estos usos). Dosis por maleza: gramíneas anuales 1,6-2,5 L/ha y latifoliadas anuales 1,6-2,9 L/ha (malezas de menos de 15 cm); perennes 1,7-4 L/ha: sorgo de Alepo no resistente 1,7-3,1; camalote, gramón, yuyo sapo, cebollín y cipero 2,9-4. Precosecha de trigo: 1,7-2 L/ha para sorgo de Alepo (humedad del grano ≤ 30 %). Terrestre 60-100 L/ha de caldo con 20-30 gotas/cm², pastillas de abanico plano a 25-40 lb/pulg²; aéreo 15-30 L/ha. Ya incluye surfactante (solo no iónico con aguas muy duras o salobres). Esperar 3 días (anuales) o 4-5 (perennes) antes de dañar mecánicamente las malezas. No pulverizar si se prevé lluvia en 6 h ni con follaje mojado. Compatible con herbicidas residuales o sistémicos CS/EC; con SC, FS, WG o WP se retrasa la actividad: consultar. Con 2,4-D sal amina usar al menos 60 L de agua/ha, sin sulfato de amonio ni más productos en el caldo. Para malezas de semilla se recomienda un residual posterior. No almacenar ni aplicar en recipientes de hierro galvanizado o acero común.</t>
  </si>
  <si>
    <t>Abejas: virtualmente no tóxico. Aves: prácticamente no tóxico. Organismos acuáticos: prácticamente no tóxico. No contaminar fuentes de agua de riego ni de uso doméstico; el caldo remanente y el agua de lavado no deben arrojarse a canales, acequias ni arroyos: asperjarlos sobre campo arado o camino de tierra. Evitar que la pulverización llegue a algodón, tabaco, girasol, frutales, hortalizas y ornamentales. Se inactiva en el suelo y no tiene efecto residual: se puede sembrar cualquier cultivo después. Sin período de carencia establecido; si el cultivo se exporta, conocer el límite máximo del país de destino y su período de carencia. Baja volatilidad. Aplicar alejado de viviendas y centros poblados.</t>
  </si>
  <si>
    <t>Clase IV («Cuidado»): normalmente no ofrece peligro; toxicidad inhalatoria: Clase II, moderadamente peligroso. Usar ropa y elementos de protección adecuados y anteojos de protección; evitar el contacto con ojos, piel y ropa; no aspirar las gotas de la aspersión. No fumar, beber ni comer en el área de trabajo; no destapar picos con la boca. Después: lavarse con agua y jabón y lavar la ropa por separado. Reingreso al área tratada: 24 horas.</t>
  </si>
  <si>
    <t>March II</t>
  </si>
  <si>
    <t>64,5 g/100 ml (54,0 g/100 ml eq. ácido, mezcla de sales potásica y amónica), concentrado soluble (SL)</t>
  </si>
  <si>
    <t>Concentrado soluble 64,5 g/100 ml (54 g/100 ml eq. ác.) — March II</t>
  </si>
  <si>
    <t>Herbicida no selectivo (grupo 9), sistémico, posemergente, para barbecho químico y presiembra de soja, maíz y girasol (convencional y directa), y selectivo en soja, maíz y algodón transgénicos resistentes a glifosato (RG). Aplicar con malezas de menos de 15 cm y en activo crecimiento. Dosis en barbecho/presiembra: gramíneas anuales 1,6-2,5 L/ha (capín, cebadilla criolla, cola de zorro, pasto cuaresma); hoja ancha anuales 1,6-2,9 L/ha (yuyo colorado, quinoa, enredadera anual, sanguinaria, chamico, amor seco); perennes: sorgo de Alepo 1,7-3,1 L/ha; gramón, cebollín, cipero, pasto guinea y yuyo sapo 2,9-4 L/ha. Siembra convencional: arar con anticipación y dejar emerger las malezas antes de aplicar; siembra directa: esperar como mínimo 2-3 días tras la cosecha anterior. Soja RG: primera aplicación a los 30-45 días de emergencia o con malezas de 2-4 hojas, gramíneas y latifoliadas anuales 1,0-1,4 L/ha, sorgo de Alepo 1,4-2,1 L/ha; puede requerir segunda aplicación. Maíz RG: 1,7 L/ha en V4 con malezas de hasta 15 cm (hasta 3,3 L/ha si son mayores); segunda aplicación 1-1,3 L/ha; no aplicar después de 8 hojas. Algodón RG: hasta 2 aplicaciones de máximo 1,8 L/ha con malezas de hasta 7 cm y algodón de hasta 4 hojas (intervalo de al menos 2 nudos; no aplicar entre 5 hojas y 20 % de apertura de frutos); precosecha con 20 % de apertura de frutos hasta 3,1 L/ha. Dosis en algodón por maleza (vegetativo / precosecha): capín 1,8 / 3,1; capín arroz, chamico, cebollín, chinchilla, enredadera, gramón y quinoa 1,4-1,8 / 1,8-3,1; sorgo de Alepo 1,4-1,8 / 1,8-2,5; verdolaga y yuyo colorado 1,8 / 3,1; pasto cuaresma 1,4-1,8 / 3,1. Precosecha de trigo: 1,7-2,0 L/ha para sorgo de Alepo (humedad del grano ≤ 30 %). Terrestre 60-100 L/ha con 20-30 gotas/cm²; mochila 1-2 L en 100 L; CDA al 10 %. Acondicionar el agua (acidificante, secuestrante, antiespumante). Esperar 3 días (anuales) o 4-5 (perennes) antes de dañar mecánicamente las malezas. No pulverizar si se prevé lluvia en 6 h ni con follaje mojado. Compatible con herbicidas residuales o sistémicos CS/EC; con floables, gránulos dispersables y polvos mojables se retrasa la actividad; respetar el orden de mezcla (WG WP SG SP SC OD EC SL).</t>
  </si>
  <si>
    <t>Peces: ligeramente tóxico. Aves: prácticamente no tóxico. Abejas: virtualmente no tóxico. Evitar que el agua de arroyos, ríos, lagunas, lagos y otras fuentes se vea afectada por derrames, agua de lavado de envases o sobrantes de caldo. Sin período de carencia por uso posicionado; si el cultivo se exporta, conocer el límite máximo de residuos del país de destino y su período de carencia. Rotación de cultivos: sin restricciones (se inactiva rápidamente en el suelo). Baja volatilidad. Evitar que la pulverización alcance cultivos vecinos sensibles al glifosato y, en perennes, hojas, frutos o tallos verdes. El caldo preparado debe usarse de inmediato y no puede recuperarse; los sobrantes y productos vencidos van a centros de disposición autorizados. Hoja de seguridad Agrofina (edición 11/05/2011): abejas DL50 oral mayor a 100 µg/abeja; aves (codorniz) DL50 mayor a 2000 mg/kg.</t>
  </si>
  <si>
    <t>Clase III: producto ligeramente peligroso («Cuidado»); inhalatoria cat. III; leve irritante dermal (cat. IV); moderado irritante ocular (cat. III); no sensibilizante dermal. Usar ropa y elementos de protección adecuados para productos fitosanitarios (el marbete no detalla el equipo; en derrames, ropa protectora, guantes, máscara respiratoria y antiparras). Evitar el contacto con ojos, piel y ropa; lavarse con agua y jabón después de manipular y lavar la ropa por separado. No fumar, beber ni comer en el área de trabajo. Reingreso: no entrar al área tratada hasta que la pulverización se haya secado sobre el follaje de las malezas. Hoja de seguridad Agrofina (11/05/2011): ropa de trabajo con delantal de Tyvek y botas de goma, guantes resistentes (nitrilo, butilo o neopreno), máscara con filtro para vapores amoniacales y antiparras. La hoja de seguridad clasifica el producto como Clase IV, a diferencia del marbete (Clase III).</t>
  </si>
  <si>
    <t>Glifosato Gold</t>
  </si>
  <si>
    <t>60 g/100 cm³ (44,5 g/100 cm³ eq. ácido, sal isopropilamina), concentrado soluble</t>
  </si>
  <si>
    <t>barbecho</t>
  </si>
  <si>
    <t>Concentrado soluble 60 g/100 cm³ (44,5 g/100 cm³ eq. ác.) — Glifosato Gold</t>
  </si>
  <si>
    <t>Herbicida no selectivo (grupo G), sistémico, posemergente, para malezas anuales y perennes en áreas agrícolas, industriales, caminos y vías férreas, alejado de centros poblados. Uso en cobertura total para barbecho químico y labranza química (el marbete no nombra cultivos de uso). Dosis: gramíneas anuales 1,6-2,4 L/ha (braquiaria, capín arroz, cebadilla criolla, cola de zorro, maíz guacho, pasto cuaresma, pasto colorado, trigo guacho); latifoliadas anuales 2-3,2 L/ha (amor seco, cardo, chamico, quinoa, yuyo colorado, sanguinaria, enredadera anual y otras); perennes: sorgo de Alepo 2-3,2 L/ha; latifoliadas perennes, ciperáceas (cebollín, chufa), gramón y pasto guinea 4,8 L/ha. Las anuales son más susceptibles con menos de 15 cm (dosis menores); las perennes se tratan entre inicio y plena floración. Efecto visible a los 2-4 días en anuales y 7-10 días en perennes. Cultivos perennes (viñedos, yerba mate, té, cítricos, frutales): dosis según malezas, sin tocar hojas, frutos ni tallos verdes. Precosecha de trigo con humedad del grano ≤ 30 % (sin dosis indicada). Terrestre: 80-120 L/ha de agua, picos de abanico plano o TK, 25-50 lb/pulg², 20-30 gotas/cm². Aplicar sobre malezas en activo crecimiento y sin estrés. No aplicar con altas temperaturas, baja humedad, rocío ni lluvia inminente; suspender con vientos de más de 10 km/h. Usar el caldo dentro de las 24 h. Sin efecto residual: para malezas de semilla complementar con residuales o selectivos. Compatible con la mayoría de los fitosanitarios; consultar y probar la mezcla a pequeña escala. Usar tanques de acero inoxidable, aluminio, plástico o fibra de vidrio.</t>
  </si>
  <si>
    <t>Abejas: virtualmente no tóxico. Aves: prácticamente no tóxico. Organismos acuáticos: prácticamente no tóxico. No contaminar fuentes de agua; no presenta riesgos para el ambiente si se usa según la etiqueta. Sin restricciones de período de carencia; si el cultivo se exporta, conocer el límite máximo de residuos del país de destino y su período de carencia. Se inactiva rápidamente en el suelo: se puede sembrar cualquier cultivo después. Evitar la deriva hacia cultivos linderos; es fitotóxico en cultivos sensibles. No reutilizar el caldo remanente: eliminarlo sin contaminar aguas cercanas.</t>
  </si>
  <si>
    <t>Clase IV: normalmente no ofrece peligro («Cuidado»). Leve irritante ocular (cat. IV); no irritante dermal; no sensibilizante. Equipo sugerido: pantalones largos, camisa de mangas largas, medias y calzado impermeable, delantal impermeable, guantes resistentes a productos químicos, protección facial y gorro o sombrero. Evitar el contacto con ojos, piel y ropa; no aspirar las gotas; no destapar picos con la boca. Lavarse con agua y jabón después de manipular; lavar la ropa por separado. No fumar, beber ni comer en el área de trabajo. Reingreso: una vez que el producto se haya secado completamente sobre las hojas.</t>
  </si>
  <si>
    <t>LT Platinum II (La Tijereta Platinum II)</t>
  </si>
  <si>
    <t>66,2 g/100 cc (54 % p/v eq. ácido, sal potásica), concentrado soluble</t>
  </si>
  <si>
    <t>Concentrado soluble 66,2 g/100 cc (54 % p/v eq. ác.) — LT Platinum II</t>
  </si>
  <si>
    <t>Herbicida no selectivo (grupo 9), sistémico, posemergente, para presiembra con labranza convencional y siembra directa, y selectivo en soja, maíz y algodón con tecnología Roundup Ready (RR). Presiembra de soja, maíz y girasol: 1,6-3,1 L/ha, y hasta 4 L/ha en casos excepcionales (malezas muy tolerantes, de gran desarrollo o con poca humedad); en siembra convencional dejar emerger las malezas antes de aplicar; en siembra directa esperar como mínimo 2-3 días tras la cosecha anterior. Soja RR: primera aplicación con malezas de hasta 15 cm (30-40 días de la siembra, 3-4 hojas), 1,4-1,6 L/ha (gramón y cebollín 2,0-2,2 L/ha); segunda aplicación 1,0-1,2 L/ha. Maíz RR2: en V4 con malezas de hasta 15 cm, 1,6 L/ha (hasta 3,3 L/ha si son mayores); segunda aplicación 0,7-1,2 L/ha; no aplicar después de 8 hojas. Algodón RR: malezas de hasta 7 cm y algodón de hasta 4 hojas, hasta dos aplicaciones de máximo 1,8 L/ha con un intervalo de al menos dos nudos; no aplicar entre 5 hojas y 20 % de apertura de frutos; precosecha con 20 % de apertura, hasta 3,1 L/ha. Dosis en algodón por maleza (vegetativo / precosecha): bejuco 1,8 / 3,1; chamico, chinchilla, quinoa, verdolaga y yuyo colorado 1,4-1,8 / 1,8-3,1; gramón y cebollín 1,8; sorgo de Alepo 1,4-1,8. Malezas anuales (más susceptibles con menos de 15 cm): gramíneas 1,6-2,5 L/ha y latifoliadas 1,6-2,9 L/ha; perennes: sorgo de Alepo 1,7-3,1; gramón, cebollín, cipero, camalote y yuyo sapo 2,9-4 L/ha. Precosecha de trigo: 1,7-2,0 L/ha (humedad del grano ≤ 30 %). Terrestre: 60-100 L/ha con 20-30 gotas/cm²; mochila de 20 L: 0,2-0,4 L de producto; CDA al 10 %. Ya incluye surfactante (solo no iónico con aguas duras o salobres). Esperar 3 días (anuales) o 4-5 (perennes) antes de dañar mecánicamente las malezas. No pulverizar si se prevé lluvia en 6 h ni con follaje mojado. Sin efecto residual: complementar con residuales o selectivos para malezas de semilla. Compatible con herbicidas residuales o sistémicos CS/EC; con suspensiones acuosas, floables, gránulos dispersables y polvos mojables se retrasa la actividad: consultar. Solo en recipientes de acero inoxidable, aluminio, fibra de vidrio o plástico.</t>
  </si>
  <si>
    <t>Abejas: virtualmente no tóxico. Aves: prácticamente no tóxico. Peces y organismos acuáticos: moderadamente tóxico. No se acumula en los tejidos animales; baja presión de vapor. Sin período de carencia (uso posicionado); si el cultivo se exporta, conocer el límite máximo de residuos del país de destino y su período de carencia. Al no dejar residuos, se puede sembrar cualquier cultivo después. Baja volatilidad: reduce el peligro de dañar sembrados vecinos. Enjuagar el equipo evitando contaminar agua de riego o de uso doméstico. Aplicar en áreas industriales, caminos y vías lejos de viviendas y lugares de tránsito frecuente. Remanentes sin diluir: mezclar con agua al 5-10 % y aplicar sobre alambrados y zonas no cultivadas.</t>
  </si>
  <si>
    <t>Clase IV: normalmente no ofrece peligro («Cuidado»). No irritante dermal (cat. IV); leve irritante ocular (cat. IV). Usar protector facial, antiparras, guantes, botas y ropa protectora adecuada. Mezclar al aire libre; no pulverizar en días ventosos. No comer, fumar ni beber durante el uso; lavarse las manos y limpiar el equipo de protección al terminar.</t>
  </si>
  <si>
    <t>Precio indicado por el usuario, 10/2026 — LT Platinum II (20 L)</t>
  </si>
  <si>
    <t>2,4-D</t>
  </si>
  <si>
    <t>Etilhexílico 89 %</t>
  </si>
  <si>
    <t>maiz, sorgo</t>
  </si>
  <si>
    <t>Éster etilhexílico 89 % — genérico</t>
  </si>
  <si>
    <t>Tóxico para organismos acuáticos con efectos duraderos. Alto riesgo de deriva sobre cultivos de hoja ancha sensibles (algodón, vid, hortícolas linderos) — no aplicar con viento en dirección a esos lotes.</t>
  </si>
  <si>
    <t>Usar equipo de protección personal completo según etiqueta (guantes, protección ocular, ropa que cubra la piel). Evitar contacto con piel, ojos y ropa.</t>
  </si>
  <si>
    <t>PDF HU-R4-05 (2026-10): 3,80 USD/L — 2,4-D amina 480 SL, bidón 20 L. Fuente citada: CASAFE Lista 2026-S1. Confianza PDF: alta. Formulación distinta a la de esta fila (éster etilhexílico 89 %).</t>
  </si>
  <si>
    <t>Dosis habitual según WEB</t>
  </si>
  <si>
    <t>Atrazina</t>
  </si>
  <si>
    <t>90 WG</t>
  </si>
  <si>
    <t>90 WG — genérico</t>
  </si>
  <si>
    <t>Persistente — detectada en aguas superficiales y subterráneas. Mantener franja de seguridad de 10 m en aplicación terrestre y 100 m en aplicación aérea respecto a cursos de agua. No aplicar si hay riesgo de escorrentía.</t>
  </si>
  <si>
    <t>Usar equipo de protección personal completo durante preparación, mezcla y aplicación. No comer, beber ni fumar durante la tarea. Almacenar en lugar seco y ventilado, no junto a alimentos.</t>
  </si>
  <si>
    <t>PDF HU-R4-05 (2026-10): 5,20 USD/L — atrazina 500 SC, bidón 20 L. Fuente citada: CASAFE Lista 2026-S1; Agrogen NEA. Confianza PDF: alta. Ojo con la unidad: el PDF es SC en L y esta fila es WG en kg.</t>
  </si>
  <si>
    <t>Cletodim</t>
  </si>
  <si>
    <t>24 %</t>
  </si>
  <si>
    <t>soja, algodon</t>
  </si>
  <si>
    <t>Líquido 24 % — genérico</t>
  </si>
  <si>
    <t>No aplicar con viento superior a 4 km/h. No aplicar si se esperan lluvias dentro de las 3 horas siguientes. Usar boquilla antideriva.</t>
  </si>
  <si>
    <t>Reingreso al área tratada entre 24 y 48 horas después de la aplicación según formulación comercial — confirmar en el marbete específico.</t>
  </si>
  <si>
    <t>PDF HU-R4-05 (2026-10): 15,00 USD/L — cletodim 240 EC, bidón 5 L. Fuente citada: CASAFE Lista 2026-S1. Confianza PDF: alta. Misma concentración (24 %) y más del doble que esta fila (6,90 USD/L, bidón de 20 L).</t>
  </si>
  <si>
    <t>Imazetapir</t>
  </si>
  <si>
    <t>Imizet ACA 10</t>
  </si>
  <si>
    <t>10 % SL</t>
  </si>
  <si>
    <t>10 % SL — Imizet ACA 10</t>
  </si>
  <si>
    <t>Alto efecto residual en el suelo — respetar 120 días entre la aplicación y la siembra de un cultivo subsiguiente sensible (ej. maíz no tolerante a imidazolinonas).</t>
  </si>
  <si>
    <t>Clasificación toxicológica Clase IV (normalmente no ofrece peligro). Usar equipo de protección personal estándar: guantes y protección ocular.</t>
  </si>
  <si>
    <t>PDF HU-R4-05 (2026-10): 22,00 USD/L — imazetapir 100 SL, bidón 5 L. Fuente citada: INTA EEA Sáenz Peña 2026. Confianza PDF: media. El precio de esta fila (5,36 USD/L, misma concentración de 100 g/L) es unas 4 veces menor.</t>
  </si>
  <si>
    <t>Azoxistrobina</t>
  </si>
  <si>
    <t>fungicida</t>
  </si>
  <si>
    <t>estres_biotico_fungico</t>
  </si>
  <si>
    <t>250 SC</t>
  </si>
  <si>
    <t>250 SC — genérico</t>
  </si>
  <si>
    <t>Muy tóxico para organismos acuáticos — evitar contaminación de cuerpos de agua. Prácticamente no tóxico para abejas.</t>
  </si>
  <si>
    <t>Reingreso 24 horas después de la aplicación. Usar gorro y overol de algodón, anteojos herméticos, máscara para polvo/vapores tóxicos, guantes y botas de neopreno.</t>
  </si>
  <si>
    <t>Relevamiento PDF HU-R4-05 (2026-10), estimado. Confianza según PDF: alta</t>
  </si>
  <si>
    <t>Trifloxistrobina</t>
  </si>
  <si>
    <t>500 WG</t>
  </si>
  <si>
    <t>500 WG — genérico</t>
  </si>
  <si>
    <t>No contaminar fuentes ni cursos de agua. Especial atención a napas subterráneas en suelos vulnerables. Máximo 4 aplicaciones por año.</t>
  </si>
  <si>
    <t>Usar solo en exteriores o en lugar bien ventilado. No respirar polvo ni niebla. Usar guantes de protección. Evitar ingestión, inhalación y contacto con la piel.</t>
  </si>
  <si>
    <t>Relevamiento PDF HU-R4-05 (2026-10), estimado. Confianza según PDF: media</t>
  </si>
  <si>
    <t>Mancozeb</t>
  </si>
  <si>
    <t>80 % WP</t>
  </si>
  <si>
    <t>80 % WP — genérico</t>
  </si>
  <si>
    <t>Muy tóxico para organismos acuáticos con efectos duraderos. No contaminar fuentes de agua de riego o consumo. No lavar equipos de aplicación en ríos.</t>
  </si>
  <si>
    <t>Reingreso entre 12 y 48 horas según formulación — verificar en la etiqueta del producto específico. Usar guantes como protección mínima.</t>
  </si>
  <si>
    <t>Tebuconazol</t>
  </si>
  <si>
    <t>250 EW</t>
  </si>
  <si>
    <t>250 EW — genérico</t>
  </si>
  <si>
    <t>Tóxico para peces. No contaminar agua, alimentos ni forraje por eliminación del producto.</t>
  </si>
  <si>
    <t>Usar guantes, ropa, gafas y máscara de protección. Lavarse concienzudamente tras la manipulación. No comer, beber ni fumar durante el uso.</t>
  </si>
  <si>
    <t>Carbendazim</t>
  </si>
  <si>
    <t>500 SC</t>
  </si>
  <si>
    <t>500 SC — genérico</t>
  </si>
  <si>
    <t>Muy tóxico para organismos acuáticos. Puede causar defectos genéticos y dañar la fertilidad — no disponer producto, envases o residuos cerca de ríos, lagunas o sistemas de drenaje.</t>
  </si>
  <si>
    <t>Usar guantes, ropa y protección ocular/facial (puede irritar piel y ojos). No permitir el ingreso al área tratada hasta 24 horas después de la aplicación.</t>
  </si>
  <si>
    <t>Clorpirifos</t>
  </si>
  <si>
    <t>insecticida</t>
  </si>
  <si>
    <t>estres_biotico_insecto</t>
  </si>
  <si>
    <t>48 % EC</t>
  </si>
  <si>
    <t>48 % EC — genérico</t>
  </si>
  <si>
    <t>Lambda-cihalotrina</t>
  </si>
  <si>
    <t>250 CS</t>
  </si>
  <si>
    <t>250 CS — genérico</t>
  </si>
  <si>
    <t>Clasificación "muy tóxico" para abejas. Avisar a apicultores del área con al menos 48 horas de anticipación. Aplicar en horarios de baja actividad de abejas. No aplicar durante floración. No aplicar con viento superior a 8 km/h ni temperatura mayor a 28°C.</t>
  </si>
  <si>
    <t>Usar mandil resistente a químicos, ropa que cubra el cuerpo, botas y gorra. Gafas protectoras herméticas. Protección respiratoria si hay formación de aerosol o neblina.</t>
  </si>
  <si>
    <t>Imidacloprid</t>
  </si>
  <si>
    <t>350 SC</t>
  </si>
  <si>
    <t>350 SC — genérico</t>
  </si>
  <si>
    <t>Categoría toxicológica II (moderadamente peligroso, franja amarilla). Muy tóxico para abejas. No aplicar durante floración. No asperjar sobre colmenas activas — si no se pueden trasladar, cubrir la entrada durante la aplicación y aplicar fuera del horario de pecoreo.</t>
  </si>
  <si>
    <t>Evitar respirar polvo, vapor o aspersión del producto. Triple lavado de envases tras el uso; inutilizar perforando o triturando.</t>
  </si>
  <si>
    <t>Spinosad</t>
  </si>
  <si>
    <t>480 SC</t>
  </si>
  <si>
    <t>480 SC — genérico</t>
  </si>
  <si>
    <t>No aplicar durante floración ni en horario de forrajeo activo de abejas, aunque no haya floración aparente en el cultivo tratado. No aplicar sobre vegetación espontánea en flor. Máximo 2 aplicaciones por campaña, con 14 días de separación mínima entre ellas.</t>
  </si>
  <si>
    <t>Una vez seco (pocas horas después de la aplicación) deja de ser tóxico para abejas — igual debe evitarse aplicar durante floración activa.</t>
  </si>
  <si>
    <t>Thiamethoxam</t>
  </si>
  <si>
    <t>250 WG</t>
  </si>
  <si>
    <t>250 WG — genérico</t>
  </si>
  <si>
    <t>Urea 46% N</t>
  </si>
  <si>
    <t>fertilizante</t>
  </si>
  <si>
    <t>estres_nutricional_nitrogeno</t>
  </si>
  <si>
    <t>Granulada 46 % N</t>
  </si>
  <si>
    <t>Granulada 46 % N — genérico</t>
  </si>
  <si>
    <t>Evitar vertido a cursos de agua superficial o subterránea — riesgo de contaminación por escorrentía o lixiviación de nitrógeno si se aplica en exceso o cerca de cursos de agua.</t>
  </si>
  <si>
    <t>Usar gafas de seguridad, máscara con filtro si hay concentración elevada de polvo, guantes y ropa de protección. Evitar generar polvo. No comer, beber ni fumar durante la manipulación. Lavarse las manos con agua y jabón después.</t>
  </si>
  <si>
    <t>Superfosfato Triple 46%</t>
  </si>
  <si>
    <t>estres_nutricional_fosforo</t>
  </si>
  <si>
    <t>46 % P₂O₅</t>
  </si>
  <si>
    <t>46 % P₂O₅ — genérico</t>
  </si>
  <si>
    <t>Evitar vertidos al agua. En caso de lluvia, evitar que el producto llegue a cuerpos de agua y cubrirlo con material impermeable.</t>
  </si>
  <si>
    <t>Usar guantes, protección respiratoria y gafas. Asegurar ventilación adecuada o usar máscara si hay generación de polvo.</t>
  </si>
  <si>
    <t>Sulfato de Magnesio</t>
  </si>
  <si>
    <t>fertilizante_foliar</t>
  </si>
  <si>
    <t>estres_nutricional_micro</t>
  </si>
  <si>
    <t>Heptahidratado</t>
  </si>
  <si>
    <t>Heptahidratado — genérico</t>
  </si>
  <si>
    <t>Boro foliar 17%</t>
  </si>
  <si>
    <t>Ácido bórico / bórax foliar</t>
  </si>
  <si>
    <t>Ácido bórico / bórax foliar — genérico</t>
  </si>
  <si>
    <t>Relevamiento PDF HU-R4-05 (2026-10), estimado. Confianza según PDF: baja (requiere confirmación)</t>
  </si>
  <si>
    <t>Ethephon 48%</t>
  </si>
  <si>
    <t>acelerador_madurez</t>
  </si>
  <si>
    <t>madurez_temprana_diferencial</t>
  </si>
  <si>
    <t>48 % SL</t>
  </si>
  <si>
    <t>algodon</t>
  </si>
  <si>
    <t>48 % SL — genérico</t>
  </si>
  <si>
    <t>Tiidiazurón + Diurón</t>
  </si>
  <si>
    <t>defoliante</t>
  </si>
  <si>
    <t>Tidiazurón 0,4 % + diurón 0,4 % WG</t>
  </si>
  <si>
    <t>Tidiazurón 0,4 % + diurón 0,4 % WG — genérico</t>
  </si>
  <si>
    <t>Halauxifen-metil</t>
  </si>
  <si>
    <t>Elevore</t>
  </si>
  <si>
    <t>7,14 g/100 ml</t>
  </si>
  <si>
    <t>soja</t>
  </si>
  <si>
    <t>7,14 g/100 ml — Elevore</t>
  </si>
  <si>
    <t>Presiembra de soja (rama negra). Respetar 7 días entre aplicación y siembra. Agitar antes de usar.</t>
  </si>
  <si>
    <t>Haloxyfop-R-metil</t>
  </si>
  <si>
    <t>Galant Max</t>
  </si>
  <si>
    <t>93,5 g/100 cm³</t>
  </si>
  <si>
    <t>Galant Max 93,5 g/100 cm³</t>
  </si>
  <si>
    <t>Graminicida. No aplicar con falta de humedad prolongada ni con malezas marchitas, ni en horas de máxima insolación y temperatura. Lluvia luego de 2 h no afecta eficacia.</t>
  </si>
  <si>
    <t>54 %</t>
  </si>
  <si>
    <t>54 % — genérico</t>
  </si>
  <si>
    <t>Legado Pro</t>
  </si>
  <si>
    <t>54 % EC</t>
  </si>
  <si>
    <t>54 % — Legado Pro</t>
  </si>
  <si>
    <t>Diclosulam</t>
  </si>
  <si>
    <t>Spider</t>
  </si>
  <si>
    <t>84 g/100 g WG</t>
  </si>
  <si>
    <t>84 g/100 g WG — Spider</t>
  </si>
  <si>
    <t>Presiembra y preemergencia; residualidad hasta 45 días en soja. Requiere lluvia posterior. Familia ALS: verificar carryover al cultivo siguiente.</t>
  </si>
  <si>
    <t>Catálogo herbicidas PDF 15/10/2026 (proveedor sin identificar) — producto equivalente: Ceomax 84 WG (diclosulam 84 % WG)</t>
  </si>
  <si>
    <t>Clopyralid</t>
  </si>
  <si>
    <t>Lontrel</t>
  </si>
  <si>
    <t>47,5 g/100 cm³ (36 g/100 cm³ eq. ácido)</t>
  </si>
  <si>
    <t>47,5 g/100 cm³ (36 g/100 cm³ eq. ácido) — Lontrel</t>
  </si>
  <si>
    <t>Hormonal. Evitar deriva sobre algodón, girasol, soja, papa, frutales, hortalizas. Se recomienda mezcla con 2,4-D.</t>
  </si>
  <si>
    <t>Picloram</t>
  </si>
  <si>
    <t>Tordon 24K</t>
  </si>
  <si>
    <t>27,7 g/100 cm³ (24 g/100 cm³ eq. ácido)</t>
  </si>
  <si>
    <t>27,7 g/100 cm³ (24 g/100 cm³ eq. ácido) — Tordon 24K</t>
  </si>
  <si>
    <t>Hormonal. Evitar deriva hacia algodón, girasol, soja, papa, frutales, hortalizas, o sobre tierras listas para sembrar con ellos.</t>
  </si>
  <si>
    <t>Catálogo herbicidas PDF 15/10/2026 (proveedor sin identificar) — producto equivalente: Picloram ACA 24 SL (picloram 24 %, 240 g/L eq. ácido)</t>
  </si>
  <si>
    <t>Flumetsulam 12%</t>
  </si>
  <si>
    <t>Preside</t>
  </si>
  <si>
    <t>12 g/100 cm³</t>
  </si>
  <si>
    <t>12 g/100 cm³ — Preside</t>
  </si>
  <si>
    <t>Herbicida de hoja ancha, familia ALS. Verificar residualidad / cultivo siguiente en el marbete.</t>
  </si>
  <si>
    <t>Catálogo herbicidas PDF 15/10/2026 (proveedor sin identificar) — producto equivalente: Capataz (flumetsulam 12 %, SC)</t>
  </si>
  <si>
    <t>Microemulsión 30 %</t>
  </si>
  <si>
    <t>Microemulsión 30 % — genérico</t>
  </si>
  <si>
    <t>Empiric</t>
  </si>
  <si>
    <t>66,9 %</t>
  </si>
  <si>
    <t>66,9 % — Empiric</t>
  </si>
  <si>
    <t>Catálogo herbicidas PDF 15/10/2026: 5,15 USD/L — Empiric (2,4-D sal colina, 45,6 % eq. ácido, CS; SKU 10-02280-0). El precio de esta fila es de camposimple.</t>
  </si>
  <si>
    <t>Herbifen Advance</t>
  </si>
  <si>
    <t>97 %</t>
  </si>
  <si>
    <t>97 % — Herbifen Advance</t>
  </si>
  <si>
    <t>Catálogo herbicidas PDF 15/10/2026: 5,57 USD/L — Herbifen Advance 2EH (éster 2-etilhexílico de 2,4-D 97 EC; SKU 10-02242-0). El precio de esta fila es de camposimple.</t>
  </si>
  <si>
    <t>2,4 D Action / 2,4 D Excel</t>
  </si>
  <si>
    <t>Etilhexílico 89 % (590 g/L eq. ácido)</t>
  </si>
  <si>
    <t>sorgo</t>
  </si>
  <si>
    <t>Éster etilhexílico 89 % — Action / Excel</t>
  </si>
  <si>
    <t>2,4 D 30 NEO</t>
  </si>
  <si>
    <t>Microemulsión 30 % — 30 NEO</t>
  </si>
  <si>
    <t>Gesaprim 90</t>
  </si>
  <si>
    <t>90 % WG</t>
  </si>
  <si>
    <t>90 WG — Gesaprim</t>
  </si>
  <si>
    <t>Atratop 90</t>
  </si>
  <si>
    <t>90 WG — Atratop 90</t>
  </si>
  <si>
    <t>Trac 50 FL</t>
  </si>
  <si>
    <t>50 % SC</t>
  </si>
  <si>
    <t>50 SC (líquido, se dosifica en L/ha) — Trac 50 FL</t>
  </si>
  <si>
    <t>Resolutor</t>
  </si>
  <si>
    <t>24 % EC</t>
  </si>
  <si>
    <t>24 % — Resolutor</t>
  </si>
  <si>
    <t>Resolutor 36 ACA</t>
  </si>
  <si>
    <t>36 %</t>
  </si>
  <si>
    <t>36 % — Resolutor 36 ACA</t>
  </si>
  <si>
    <t>Sulfometurón metil + Clorimurón etil</t>
  </si>
  <si>
    <t>Ligate</t>
  </si>
  <si>
    <t>Sulfometurón metil 15 % + clorimurón etil 20 % (15 g + 20 g/100 g), gránulos dispersables (WG)</t>
  </si>
  <si>
    <t>WG 15 % + 20 % — Ligate</t>
  </si>
  <si>
    <t>Herbicida inhibidor de ALS (grupo B), de absorción radicular y foliar, con acción residual. Para barbecho químico y presiembra de lotes destinados exclusivamente a soja variedades Ligate STS (tolerantes), siempre en mezcla de tanque con glifosato: 90-100 g/ha. Barbecho largo: hasta 100-120 días antes de la siembra (malezas invernales); barbecho corto: 30-60 días antes; presiembra: desde 7-10 días antes hasta la siembra (malezas primavero-estivales). Controla latifoliadas (amor seco, cardo, cerraja, malva blanca, ortiga, quinoa, rama negra, verdolaga, yuyo colorado susceptible a ALS y otras) y gramíneas anuales (urochloa, capín, chloris, eleusine, rye grass, pasto cuaresma, roseta, y maíz guacho en preemergencia). Aplicar sobre malezas pequeñas (rosetas de 5-10 cm; gramíneas de 2-3 hojas) o en preemergencia, con buena humedad y sin estrés. Control de 100-150 días en aplicaciones otoño-invernales y 60-90 días en primaverales. Preparación: agua hasta la mitad, agregar Ligate, luego el glifosato, completar; preparar solo lo del día. Equipo terrestre con agitación y pastillas de abanico plano; 30-40 gotas/cm² (300-500 micrones). No más de una aplicación por ciclo. Incompatible con insecticidas de fuerte reacción alcalina; compatible con glifosato; probar otras mezclas a pequeña escala. En preemergencia, no aplicar insecticidas organofosforados en los 14 días posteriores a la emergencia del cultivo. No aplicar con viento de más de 8-10 km/h ni de menos de 3 km/h.</t>
  </si>
  <si>
    <t>Algas acuáticas: extremadamente tóxico. Abejas: virtualmente no tóxico. Peces y crustáceos acuáticos: prácticamente no tóxico. Aves: prácticamente no tóxico. Zona buffer sin aplicar de al menos 5 m de cursos o espejos de agua; no contaminar fuentes de agua de uso doméstico; no aplicar, drenar ni enjuagar el equipo cerca de plantas deseables ni donde puedan extender sus raíces. No aplicar cerca de viviendas, centros poblados ni lugares de tránsito frecuente. Rotación (solo después de soja Ligate STS): trigo, cebada, avena y soja, 7 meses mínimo entre la aplicación y la siembra; maíz, girasol y sorgo, 11 meses. Resiembra de soja: solo con variedad Ligate STS. No usar en suelos con pH superior a 7 ni en suelos arenosos (más de 50 % de arena) con materia orgánica menor al 1 %. Período de carencia: exento (uso posicionado previo a la implantación); si el cultivo se exporta, conocer el límite máximo de residuos del país de destino.</t>
  </si>
  <si>
    <t>Clase IV ("Cuidado"): normalmente no ofrece peligro. Toxicidad inhalatoria cat. III, irritante leve dermal y ocular (cat. IV), no sensibilizante dermal. Carga: protector facial, guantes de neoprene o nitrilo, botas de goma, camisa de mangas largas y pantalones largos o enterizo Tyvek. Aplicación: protector facial, guantes de nitrilo, camisa de mangas largas y pantalones largos o enterizo Tyvek, gorra con protección para la nuca y calzado con medias. Evitar respirar la neblina; no comer, beber ni fumar durante el uso; lavar con agua y jabón las partes expuestas y la ropa. Reingreso: cuando la pulverización se haya secado.</t>
  </si>
  <si>
    <t>Paraquat</t>
  </si>
  <si>
    <t>Paraquat 27,6 Delta Agro</t>
  </si>
  <si>
    <t>27,6 g/100 cm³ de dicloruro de paraquat (20 g/100 cm³ eq. paraquat), concentrado soluble</t>
  </si>
  <si>
    <t>Concentrado soluble 27,6 g/100 cm³ — Paraquat 27,6 Delta Agro (uso herbicida)</t>
  </si>
  <si>
    <t>Herbicida de contacto (bipiridilo), de acción rápida sobre el follaje y partes verdes; no afecta tallos de corteza marrón; se inactiva en el suelo. Uso como herbicida: siembra directa o labranza cero, 2 L/ha con al menos 150 L de agua/ha, preferiblemente antes de la siembra; puede mezclarse con diquat, hormonales o residuales. Barbecho químico: 1,5 L/ha + 1 kg/ha de atrazina 90 % (maíz), o 1,5 L/ha + 5 g/ha de metsulfurón metil 60 % + 100 cm³/ha de dicamba (trigo, soja), con coadyuvante no iónico al 0,2 %; para soja aplicar hasta fin de otoño. Áreas cultivadas, presiembra: 1,5-3 L/ha sobre malezas emergidas. Trigo en labranza cero: 2 L/ha. Pasturas (renovación) 1,5-3 L/ha; acequias, tung y pasto puna en alfalfa 3-4 L/ha. Aplicar sobre malezas pequeñas (primeras 2 semanas de emergencia, menos de 10 cm); con malezas más desarrolladas mezclar con hormonales. Dosis mayores con abundante follaje o primer tratamiento; dosis baja para segundo tratamiento o rebrotes. Terrestre: abanico plano, 40-50 lb/pulg², 100-300 L/ha, 30-40 gotas/cm², con humectante no iónico al 0,2 %; mochila hasta 1 % (1 L cada 100 L); aéreo no menos de 20 L/ha, nunca con gasoil. Compatible con diquat, hormonales (2,4-D, 2,4-DB, MCPA, dicamba, picloram) y residuales. No es fitotóxico si se usa según lo indicado.</t>
  </si>
  <si>
    <t>Abejas: ligeramente tóxico. Aves: ligeramente tóxico; no aplicar donde haya aves alimentándose o reproduciéndose, cerca de dormideros, bosques naturales, parques protegidos, reservas faúnisticas ni donde haya aves domésticas. Peces: ligeramente tóxico; evitar contaminar fuentes o cursos de agua. Restos de caldo y agua de lavado no deben arrojarse a canales, acequias ni arroyos: asperjarlos sobre campo arado o camino de tierra. Dejar 7 días entre la aplicación y el pastoreo de leguminosas forrajeras, soja, praderas y cereales forrajeros (maíz y sorgo). Exento de período de carencia para uso como herbicida; si el cultivo se exporta, conocer el límite máximo de residuos del país de destino y su período de carencia. Hoja de seguridad: peces ligeramente tóxico; aves prácticamente no tóxico y abejas virtualmente no tóxico (el marbete indica ligeramente tóxico para aves y abejas); no persistente en el suelo.</t>
  </si>
  <si>
    <t>Clase II: moderadamente peligroso. Toxicidad inhalatoria cat. III («Cuidado»); corrosivo ocular cat. I («Peligro»), causa daño irreversible a los ojos; moderado irritante dermal cat. III; sensibilizante dermal. Nocivo si se ingiere o se absorbe por la piel. Usar ropa protectora adecuada, guantes impermeables, protección facial, botas de goma y antiparras. No comer, beber ni fumar durante el manipuleo; no destapar picos ni boquillas con la boca. Después: cambiar y lavar la ropa de inmediato y lavarse con agua y jabón. Reingreso: no ingresar al área tratada hasta que el producto se haya secado sobre las hojas. Hoja de seguridad: usar traje protector, camisa de mangas largas, pantalones largos, delantal, botas de goma, guantes de nitrilo, protector facial, máscara y anteojos. La hoja de seguridad clasifica el producto como Clase III (ligeramente peligroso), a diferencia del marbete (Clase II).</t>
  </si>
  <si>
    <t>Precio indicado por el usuario, 10/2026 — producto equivalente: Paraquat 27,6 % (20 L)</t>
  </si>
  <si>
    <t>Concentrado soluble 27,6 g/100 cm³ — Paraquat 27,6 Delta Agro (uso desecante)</t>
  </si>
  <si>
    <t>Uso como desecante o defoliante (herbicida de contacto, bipiridilo). Soja: 1-2 L/ha cuando los granos estén fisiológicamente maduros y se desprendan fácilmente de la vaina. Sorgo (solo cultivos para semilla y forrajes): 1,5-2 L/ha con equipo aéreo o terrestre, 5-10 días antes de la cosecha y con 25 % de humedad en el grano. Algodón: 0,7-1 L/ha como defoliante, con al menos 250 L de agua/ha, para facilitar la cosecha y aumentar el rendimiento. Maíz: desecante para cosecha anticipada, con equipo aéreo y granos fisiológicamente maduros (menos de 40 % de humedad); la dosis no se pudo leer. Otros desecantes: alfalfa y leguminosas forrajeras 1-1,5 L/ha (3-7 días antes de la cosecha, al menos 100 L de agua/ha); alpiste 1-1,5 L/ha (aplicación aérea); arveja, lenteja y poroto 1-2 L/ha; papa 1,5-2,5 L/ha (10 días a 2 semanas antes de cosecha, 300 L/ha como mínimo, sin humectante no iónico); girasol, por avión. Dosis mayores con abundante follaje del cultivo a desecar o como primer tratamiento. Terrestre: abanico plano, 40-50 lb/pulg², 100-300 L/ha, 30-40 gotas/cm², con humectante no iónico al 0,2 %; aéreo no menos de 20 L/ha, nunca con gasoil. Compatible con diquat, hormonales y residuales. No es fitotóxico si se usa según lo indicado.</t>
  </si>
  <si>
    <t>Abejas: ligeramente tóxico. Aves: ligeramente tóxico; no aplicar donde haya aves alimentándose o reproduciéndose, cerca de dormideros, bosques naturales, parques protegidos, reservas faúnisticas ni donde haya aves domésticas. Peces: ligeramente tóxico; evitar contaminar fuentes o cursos de agua. Restos de caldo y agua de lavado no deben arrojarse a canales, acequias ni arroyos: asperjarlos sobre campo arado o camino de tierra. Dejar 7 días entre la aplicación y el pastoreo de leguminosas forrajeras, soja, praderas y cereales forrajeros (maíz y sorgo). El marbete solo declara exento de período de carencia el uso como herbicida; para el uso desecante no figura un período en el texto leído. Si el cultivo se exporta, conocer el límite máximo de residuos del país de destino y su período de carencia. Hoja de seguridad: peces ligeramente tóxico; aves prácticamente no tóxico y abejas virtualmente no tóxico (el marbete indica ligeramente tóxico para aves y abejas); no persistente en el suelo.</t>
  </si>
  <si>
    <t>Saflufenacil</t>
  </si>
  <si>
    <t>Heat</t>
  </si>
  <si>
    <t>70 g/100 g de saflufenacil (700 g/kg), gránulos dispersables (WG)</t>
  </si>
  <si>
    <t>WG 70 % — Heat</t>
  </si>
  <si>
    <t>Herbicida de contacto, de efecto desecante y aplicación posemergente (grupo 14, inhibidor de PPO). Se aplica siempre en mezcla con glifosato (1080 g eq. ác./ha = 3 L de glifosato 48 %, 2 L de 66,2 % o 1,5 kg de 74,7 %) más ésteres metílicos de aceite vegetal (siliconados 250 cc/ha o al 1 %). Barbecho químico o quemado previo a la siembra: soja y maíz 70 g/ha (solo suelos de textura fina: franco o franco limoso con más de 50 % de limo y más de 30 % de arcilla, menos de 10 % de arena y hasta 1,5 % de materia orgánica; 7 días antes de la siembra); soja, maní, maíz, sorgo, trigo y cebada 35 g/ha. Aplicar con malezas de hasta 20 cm de altura o 10 cm de diámetro (rosetas de 10 cm), en activo crecimiento y sin estrés; no aplicar sobre rebrotes de plantas viejas, malezas afectadas por heladas o sequía ni cubiertas por tierra. Con malezas grandes sumar una auxina sintética; en barbecho otoño-invernal se recomienda agregar metsulfurón. Si hay rebrotes, repetir a los 20 días. Malezas controladas con glifosato (hoja ancha): afata, altamisa, campanilla, cardo ruso, cardo torito, cerraja, corregüela, malva, malva cimarrona, quinoa, rama negra, saetilla, senecio amarillo, sunchillo, tutia, verdolaga, viola silvestre, yuyo colorado (A. hybridus, solo con 70 g/ha) y otras; flor de Santa Lucía con control parcial. Desecante de precosecha (con ésteres metílicos): algodón 35 g/ha con 65-70 % de cápsulas abiertas (con hojas nuevas o rebrotes, mezclar con etefón o thidiazurón + diurón); soja 70 g/ha con 90 % de vainas marrones; girasol 35 g/ha con grano de menos de 30 % de humedad; garbanzo, poroto y arveja 70 g/ha. También eucalipto (35 g/ha, 7 días antes de plantar) y frutales (limonero, mandarino, naranjo, manzano, peral: 35 g/ha). Terrestre: pastillas de abanico plano, 30-45 lb/pulg², 100-150 L de agua/ha, al menos 60 impactos/cm²; sin pastillas antideriva ni de cono hueco. Compatible con glifosato líquido o sólido y con defoliantes (Dropp Ultra, Finish, etefón, thidiazurón).</t>
  </si>
  <si>
    <t>Marbete: aves y peces prácticamente no tóxico; abejas virtualmente no tóxico. Hoja de seguridad BASF (17/09/2015): muy tóxico para los organismos acuáticos, con efectos duraderos (categoría aguda 1 y crónica 1; algas CE50 0,1157 mg/L); peces CL50 mayor a 100 mg/L. Evitar la deriva sobre cultivos adyacentes y que el producto o los restos de caldo lleguen a aguas superficiales o subterráneas; el remanente se asperja sobre caminos de tierra internos o alambrados, lejos de personas, animales, cultivos o árboles. Período de carencia: no requiere en barbecho, frutales ni eucalipto; como desecante, 14 días en girasol, 30 en algodón, 7 en soja y poroto y 15 en garbanzo. Intervalo de siembra: en suelos alcalinos (pH mayor a 7) o arenosos (más de 70 % de arena) con menos de 2 % de materia orgánica, al menos 15 días entre la aplicación y la siembra de soja o maní; con 70 g/ha respetar la restricción de suelo y los días entre aplicación y siembra en soja. No aplicar en vid, en presiembra de girasol y poroto, en algodón para semilla ni en árboles frutales en vivero o en el primer y segundo año de plantación. Si el cultivo se exporta, conocer el límite máximo de residuos del país de destino y su período de carencia.</t>
  </si>
  <si>
    <t>Clase III: ligeramente peligroso. Toxicidad inhalatoria cat. III («Cuidado»); leve irritante dermal cat. IV; moderado irritante ocular cat. III; no sensibilizante dermal. Usar guantes, botas de goma y ropa protectora adecuada (chaqueta y pantalón largo). Evitar el contacto con piel, ojos y ropa; no comer, beber ni fumar durante el tratamiento; lavarse con agua y jabón después de aplicar. Hoja de seguridad BASF (17/09/2015): susceptible de dañar al feto (toxicidad para la reproducción cat. 2); guantes de nitrilo, gafas con protección lateral, filtro de partículas P2/FFP2 si hay exposición elevada o prolongada, y traje de protección; guardar bajo llave. La hoja de seguridad no lo clasifica como irritante ocular ni dermal, a diferencia del marbete. Reingreso: esperar al completo secado del producto sobre las hojas.</t>
  </si>
  <si>
    <t>Precio indicado por el usuario, 10/2026 — Heat, frasco 350 g (115 USD/unidad)</t>
  </si>
  <si>
    <t>Notas:</t>
  </si>
  <si>
    <t>Estados: «Recomendado por el motor» = los 21 productos que hoy recomienda el motor de reglas (migración 0015). «Pendiente» = agregados después; todavía no están en la base ni los usa el motor. Las filas «Pendiente» van en amarillo.</t>
  </si>
  <si>
    <t>Una fila = un producto comercial (marca + concentración). Un principio activo puede tener varias filas: todas comparten el valor de «Grupo de variantes» y la columna «Variante» indica qué las distingue. Para sumar una marca o concentración nueva, agregar una fila debajo de las de ese activo.</t>
  </si>
  <si>
    <t>Dosis y precio de cada fila corresponden a la marca y concentración de esa fila (la concentración cambia la dosis). Dosis = cantidad de producto por hectárea, en la unidad de la columna E. Algunas dosis son calculadas por equivalencia de activo: lo aclara el comentario de la celda.</t>
  </si>
  <si>
    <t>Precios aproximados, en USD por L o kg de producto. La fuente y la fecha están en «Fecha / fuente del precio» y el detalle en el comentario de la celda del precio. Fuentes: camposimple.com.ar; catálogo de herbicidas PDF 15/10/2026 (moneda supuesta USD); PDF de relevamiento HU-R4-05 (estimados, sin verificar). «Nota de precio» guarda precios alternativos de otra fuente.</t>
  </si>
  <si>
    <t>Costo aprox. por ha = dosis × precio (fórmula); queda vacío hasta tener ambos datos.</t>
  </si>
  <si>
    <t>Cultivos asociados: en las filas «Recomendado por el motor» son los cultivos que contempla el motor (soja, maíz, algodón, sorgo), no los del marbete; se reemplazan por los del marbete al cargarlo.</t>
  </si>
  <si>
    <t>Celdas en azul = datos a completar a mano. Origen de restricciones y seguridad: migraciones 0018/0019 (verificar contra el marbete).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</si>
</sst>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0.000"/>
  </numFmts>
  <fonts count="7" x14ac:knownFonts="1">
    <font>
      <sz val="11"/>
      <color theme="1"/>
      <name val="Calibri"/>
      <charset val="1"/>
    </font>
    <font>
      <b/>
      <sz val="10"/>
      <color rgb="FFFFFFFF"/>
      <name val="Arial"/>
      <charset val="1"/>
    </font>
    <font>
      <sz val="14"/>
      <color rgb="FF000000"/>
      <name val="Arial"/>
      <charset val="1"/>
    </font>
    <font>
      <sz val="10"/>
      <color rgb="FF0000FF"/>
      <name val="Arial"/>
      <charset val="1"/>
    </font>
    <font>
      <sz val="10"/>
      <color rgb="FF000000"/>
      <name val="Arial"/>
      <charset val="1"/>
    </font>
    <font>
      <b/>
      <sz val="10"/>
      <color theme="1"/>
      <name val="Arial"/>
      <charset val="1"/>
    </font>
    <font>
      <i/>
      <sz val="10"/>
      <color theme="1"/>
      <name val="Arial"/>
      <charset val="1"/>
    </font>
  </fonts>
  <fills count="4">
    <fill>
      <patternFill patternType="none"/>
    </fill>
    <fill>
      <patternFill patternType="gray125"/>
    </fill>
    <fill>
      <patternFill patternType="solid">
        <fgColor rgb="FF1F5522"/>
        <bgColor rgb="FF333300"/>
      </patternFill>
    </fill>
    <fill>
      <patternFill patternType="solid">
        <fgColor rgb="FFFFF8DC"/>
        <bgColor rgb="FFFFFFFF"/>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wrapText="1"/>
    </xf>
    <xf numFmtId="2" fontId="3" fillId="0" borderId="2" xfId="0" applyNumberFormat="1" applyFont="1" applyBorder="1" applyAlignment="1">
      <alignment vertical="top" wrapText="1"/>
    </xf>
    <xf numFmtId="0" fontId="3" fillId="0" borderId="1" xfId="0" applyFont="1" applyBorder="1" applyAlignment="1">
      <alignment vertical="top" wrapText="1"/>
    </xf>
    <xf numFmtId="164" fontId="3" fillId="0" borderId="1" xfId="0" applyNumberFormat="1" applyFont="1" applyBorder="1" applyAlignment="1">
      <alignment vertical="top" wrapText="1"/>
    </xf>
    <xf numFmtId="0" fontId="4" fillId="0" borderId="1" xfId="0" applyFont="1" applyBorder="1" applyAlignment="1">
      <alignment vertical="top" wrapText="1"/>
    </xf>
    <xf numFmtId="164" fontId="4" fillId="0" borderId="1" xfId="0" applyNumberFormat="1" applyFont="1" applyBorder="1" applyAlignment="1">
      <alignment vertical="top" wrapText="1"/>
    </xf>
    <xf numFmtId="0" fontId="2" fillId="3" borderId="1" xfId="0" applyFont="1" applyFill="1" applyBorder="1" applyAlignment="1">
      <alignment wrapText="1"/>
    </xf>
    <xf numFmtId="2" fontId="3" fillId="3" borderId="2" xfId="0" applyNumberFormat="1" applyFont="1" applyFill="1" applyBorder="1" applyAlignment="1">
      <alignment vertical="top" wrapText="1"/>
    </xf>
    <xf numFmtId="0" fontId="3" fillId="3" borderId="1" xfId="0" applyFont="1" applyFill="1" applyBorder="1" applyAlignment="1">
      <alignment vertical="top" wrapText="1"/>
    </xf>
    <xf numFmtId="164" fontId="3" fillId="3" borderId="1" xfId="0" applyNumberFormat="1" applyFont="1" applyFill="1" applyBorder="1" applyAlignment="1">
      <alignment vertical="top" wrapText="1"/>
    </xf>
    <xf numFmtId="0" fontId="4" fillId="3" borderId="1" xfId="0" applyFont="1" applyFill="1" applyBorder="1" applyAlignment="1">
      <alignment vertical="top" wrapText="1"/>
    </xf>
    <xf numFmtId="164" fontId="4" fillId="3" borderId="1" xfId="0" applyNumberFormat="1" applyFont="1" applyFill="1" applyBorder="1" applyAlignment="1">
      <alignment vertical="top" wrapText="1"/>
    </xf>
    <xf numFmtId="165" fontId="3" fillId="3" borderId="2" xfId="0" applyNumberFormat="1" applyFont="1" applyFill="1" applyBorder="1" applyAlignment="1">
      <alignment vertical="top" wrapText="1"/>
    </xf>
    <xf numFmtId="0" fontId="2" fillId="0" borderId="3" xfId="0" applyFont="1" applyBorder="1" applyAlignment="1">
      <alignment vertical="top" wrapText="1"/>
    </xf>
    <xf numFmtId="2" fontId="3" fillId="0" borderId="1" xfId="0" applyNumberFormat="1" applyFont="1" applyBorder="1" applyAlignment="1">
      <alignment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2" fontId="3" fillId="3" borderId="1" xfId="0" applyNumberFormat="1" applyFont="1" applyFill="1" applyBorder="1" applyAlignment="1">
      <alignment vertical="top" wrapText="1"/>
    </xf>
    <xf numFmtId="165" fontId="3" fillId="3" borderId="1" xfId="0" applyNumberFormat="1" applyFont="1" applyFill="1" applyBorder="1" applyAlignment="1">
      <alignment vertical="top" wrapText="1"/>
    </xf>
    <xf numFmtId="0" fontId="5" fillId="0" borderId="0" xfId="0" applyFont="1"/>
    <xf numFmtId="0" fontId="6" fillId="0" borderId="0" xfId="0" applyFont="1"/>
    <xf numFmtId="0" fontId="1" fillId="2" borderId="1" xfId="0" applyFont="1" applyFill="1" applyBorder="1" applyAlignment="1">
      <alignment horizontal="center" vertical="center" wrapText="1"/>
    </xf>
    <xf numFmtId="0" fontId="0" fillId="0" borderId="2"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8D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5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00"/>
  <sheetViews>
    <sheetView tabSelected="1" zoomScaleNormal="100"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3984375" defaultRowHeight="14.25" x14ac:dyDescent="0.45"/>
  <cols>
    <col min="1" max="1" width="22" customWidth="1"/>
    <col min="2" max="2" width="16" customWidth="1"/>
    <col min="3" max="3" width="33.73046875" customWidth="1"/>
    <col min="4" max="4" width="13.3984375" customWidth="1"/>
    <col min="5" max="5" width="11.53125" customWidth="1"/>
    <col min="6" max="6" width="15" customWidth="1"/>
    <col min="7" max="7" width="26" customWidth="1"/>
    <col min="8" max="8" width="30" customWidth="1"/>
    <col min="9" max="10" width="22" customWidth="1"/>
    <col min="11" max="11" width="20" customWidth="1"/>
    <col min="12" max="12" width="40" customWidth="1"/>
    <col min="13" max="14" width="50" customWidth="1"/>
    <col min="15" max="15" width="40" customWidth="1"/>
    <col min="16" max="16" width="30" customWidth="1"/>
    <col min="17" max="17" width="60" customWidth="1"/>
    <col min="18" max="18" width="13" customWidth="1"/>
    <col min="19" max="19" width="28.53125" customWidth="1"/>
    <col min="20" max="26" width="9.1328125" customWidth="1"/>
  </cols>
  <sheetData>
    <row r="1" spans="1:19" ht="34.5" customHeight="1" x14ac:dyDescent="0.45">
      <c r="A1" s="1" t="s">
        <v>0</v>
      </c>
      <c r="B1" s="1" t="s">
        <v>1</v>
      </c>
      <c r="C1" s="1" t="s">
        <v>2</v>
      </c>
      <c r="D1" s="1" t="s">
        <v>3</v>
      </c>
      <c r="E1" s="1" t="s">
        <v>4</v>
      </c>
      <c r="F1" s="1" t="s">
        <v>5</v>
      </c>
      <c r="G1" s="23" t="s">
        <v>6</v>
      </c>
      <c r="H1" s="24"/>
      <c r="I1" s="1" t="s">
        <v>7</v>
      </c>
      <c r="J1" s="1" t="s">
        <v>8</v>
      </c>
      <c r="K1" s="1" t="s">
        <v>9</v>
      </c>
      <c r="L1" s="1" t="s">
        <v>10</v>
      </c>
      <c r="M1" s="1" t="s">
        <v>11</v>
      </c>
      <c r="N1" s="1" t="s">
        <v>12</v>
      </c>
      <c r="O1" s="1" t="s">
        <v>13</v>
      </c>
      <c r="P1" s="1" t="s">
        <v>14</v>
      </c>
      <c r="Q1" s="1" t="s">
        <v>15</v>
      </c>
      <c r="R1" s="1" t="s">
        <v>16</v>
      </c>
      <c r="S1" s="1" t="s">
        <v>17</v>
      </c>
    </row>
    <row r="2" spans="1:19" ht="33.75" customHeight="1" x14ac:dyDescent="0.45">
      <c r="G2" t="s">
        <v>6</v>
      </c>
      <c r="H2" t="s">
        <v>18</v>
      </c>
    </row>
    <row r="3" spans="1:19" ht="69.75" customHeight="1" x14ac:dyDescent="0.45">
      <c r="A3" s="2" t="s">
        <v>19</v>
      </c>
      <c r="B3" s="2" t="s">
        <v>20</v>
      </c>
      <c r="C3" s="2" t="s">
        <v>21</v>
      </c>
      <c r="D3" s="3">
        <v>2.2200000000000002</v>
      </c>
      <c r="E3" s="4" t="s">
        <v>22</v>
      </c>
      <c r="F3" s="5">
        <v>5.5</v>
      </c>
      <c r="G3" s="4" t="s">
        <v>23</v>
      </c>
      <c r="H3" s="4" t="s">
        <v>24</v>
      </c>
      <c r="I3" s="4" t="s">
        <v>25</v>
      </c>
      <c r="J3" s="6" t="s">
        <v>26</v>
      </c>
      <c r="K3" s="6" t="s">
        <v>19</v>
      </c>
      <c r="L3" s="6" t="s">
        <v>27</v>
      </c>
      <c r="M3" s="6"/>
      <c r="N3" s="6" t="s">
        <v>28</v>
      </c>
      <c r="O3" s="6" t="s">
        <v>29</v>
      </c>
      <c r="P3" s="4" t="s">
        <v>30</v>
      </c>
      <c r="Q3" s="6" t="s">
        <v>31</v>
      </c>
      <c r="R3" s="7">
        <f t="shared" ref="R3:R34" si="0">IF(AND(ISNUMBER(D3),ISNUMBER(F3)),D3*F3,"")</f>
        <v>12.21</v>
      </c>
      <c r="S3" s="6"/>
    </row>
    <row r="4" spans="1:19" ht="69.75" customHeight="1" x14ac:dyDescent="0.45">
      <c r="A4" s="8" t="s">
        <v>19</v>
      </c>
      <c r="B4" s="8" t="s">
        <v>20</v>
      </c>
      <c r="C4" s="8" t="s">
        <v>21</v>
      </c>
      <c r="D4" s="9">
        <v>2.4</v>
      </c>
      <c r="E4" s="10" t="s">
        <v>22</v>
      </c>
      <c r="F4" s="11">
        <v>5.9</v>
      </c>
      <c r="G4" s="10" t="s">
        <v>32</v>
      </c>
      <c r="H4" s="10" t="s">
        <v>33</v>
      </c>
      <c r="I4" s="10" t="s">
        <v>34</v>
      </c>
      <c r="J4" s="12" t="s">
        <v>35</v>
      </c>
      <c r="K4" s="12" t="s">
        <v>19</v>
      </c>
      <c r="L4" s="12" t="s">
        <v>36</v>
      </c>
      <c r="M4" s="12" t="s">
        <v>37</v>
      </c>
      <c r="N4" s="12" t="s">
        <v>38</v>
      </c>
      <c r="O4" s="12" t="s">
        <v>39</v>
      </c>
      <c r="P4" s="10" t="s">
        <v>30</v>
      </c>
      <c r="Q4" s="12"/>
      <c r="R4" s="13">
        <f t="shared" si="0"/>
        <v>14.16</v>
      </c>
      <c r="S4" s="12" t="s">
        <v>40</v>
      </c>
    </row>
    <row r="5" spans="1:19" ht="69.75" customHeight="1" x14ac:dyDescent="0.45">
      <c r="A5" s="8" t="s">
        <v>19</v>
      </c>
      <c r="B5" s="8" t="s">
        <v>20</v>
      </c>
      <c r="C5" s="8" t="s">
        <v>21</v>
      </c>
      <c r="D5" s="9">
        <v>1.5</v>
      </c>
      <c r="E5" s="10" t="s">
        <v>22</v>
      </c>
      <c r="F5" s="11">
        <v>6.7</v>
      </c>
      <c r="G5" s="10" t="s">
        <v>41</v>
      </c>
      <c r="H5" s="10" t="s">
        <v>42</v>
      </c>
      <c r="I5" s="10" t="s">
        <v>25</v>
      </c>
      <c r="J5" s="12" t="s">
        <v>35</v>
      </c>
      <c r="K5" s="12" t="s">
        <v>19</v>
      </c>
      <c r="L5" s="12" t="s">
        <v>43</v>
      </c>
      <c r="M5" s="12" t="s">
        <v>44</v>
      </c>
      <c r="N5" s="12"/>
      <c r="O5" s="12"/>
      <c r="P5" s="10" t="s">
        <v>30</v>
      </c>
      <c r="Q5" s="12"/>
      <c r="R5" s="13">
        <f t="shared" si="0"/>
        <v>10.050000000000001</v>
      </c>
      <c r="S5" s="12" t="s">
        <v>40</v>
      </c>
    </row>
    <row r="6" spans="1:19" ht="69.75" customHeight="1" x14ac:dyDescent="0.45">
      <c r="A6" s="8" t="s">
        <v>19</v>
      </c>
      <c r="B6" s="8" t="s">
        <v>20</v>
      </c>
      <c r="C6" s="8" t="s">
        <v>21</v>
      </c>
      <c r="D6" s="9">
        <v>1.5</v>
      </c>
      <c r="E6" s="10" t="s">
        <v>45</v>
      </c>
      <c r="F6" s="11">
        <v>6.7</v>
      </c>
      <c r="G6" s="10" t="s">
        <v>46</v>
      </c>
      <c r="H6" s="10" t="s">
        <v>47</v>
      </c>
      <c r="I6" s="10" t="s">
        <v>48</v>
      </c>
      <c r="J6" s="12" t="s">
        <v>35</v>
      </c>
      <c r="K6" s="12" t="s">
        <v>19</v>
      </c>
      <c r="L6" s="12" t="s">
        <v>49</v>
      </c>
      <c r="M6" s="12" t="s">
        <v>50</v>
      </c>
      <c r="N6" s="12" t="s">
        <v>51</v>
      </c>
      <c r="O6" s="12" t="s">
        <v>52</v>
      </c>
      <c r="P6" s="10" t="s">
        <v>30</v>
      </c>
      <c r="Q6" s="12"/>
      <c r="R6" s="13">
        <f t="shared" si="0"/>
        <v>10.050000000000001</v>
      </c>
      <c r="S6" s="12" t="s">
        <v>40</v>
      </c>
    </row>
    <row r="7" spans="1:19" ht="69.75" customHeight="1" x14ac:dyDescent="0.45">
      <c r="A7" s="8" t="s">
        <v>19</v>
      </c>
      <c r="B7" s="8" t="s">
        <v>20</v>
      </c>
      <c r="C7" s="8" t="s">
        <v>21</v>
      </c>
      <c r="D7" s="9">
        <v>1.3</v>
      </c>
      <c r="E7" s="10" t="s">
        <v>45</v>
      </c>
      <c r="F7" s="11">
        <v>7.3</v>
      </c>
      <c r="G7" s="10" t="s">
        <v>53</v>
      </c>
      <c r="H7" s="10" t="s">
        <v>54</v>
      </c>
      <c r="I7" s="10" t="s">
        <v>34</v>
      </c>
      <c r="J7" s="12" t="s">
        <v>35</v>
      </c>
      <c r="K7" s="12" t="s">
        <v>19</v>
      </c>
      <c r="L7" s="12" t="s">
        <v>55</v>
      </c>
      <c r="M7" s="12" t="s">
        <v>56</v>
      </c>
      <c r="N7" s="12" t="s">
        <v>57</v>
      </c>
      <c r="O7" s="12" t="s">
        <v>58</v>
      </c>
      <c r="P7" s="10" t="s">
        <v>30</v>
      </c>
      <c r="Q7" s="12"/>
      <c r="R7" s="13">
        <f t="shared" si="0"/>
        <v>9.49</v>
      </c>
      <c r="S7" s="12" t="s">
        <v>40</v>
      </c>
    </row>
    <row r="8" spans="1:19" ht="69.75" customHeight="1" x14ac:dyDescent="0.45">
      <c r="A8" s="8" t="s">
        <v>19</v>
      </c>
      <c r="B8" s="8" t="s">
        <v>20</v>
      </c>
      <c r="C8" s="8" t="s">
        <v>21</v>
      </c>
      <c r="D8" s="14">
        <v>1.375</v>
      </c>
      <c r="E8" s="10" t="s">
        <v>45</v>
      </c>
      <c r="F8" s="11">
        <v>8.5</v>
      </c>
      <c r="G8" s="10" t="s">
        <v>59</v>
      </c>
      <c r="H8" s="10" t="s">
        <v>60</v>
      </c>
      <c r="I8" s="10" t="s">
        <v>61</v>
      </c>
      <c r="J8" s="12" t="s">
        <v>35</v>
      </c>
      <c r="K8" s="12" t="s">
        <v>19</v>
      </c>
      <c r="L8" s="12" t="s">
        <v>62</v>
      </c>
      <c r="M8" s="12" t="s">
        <v>63</v>
      </c>
      <c r="N8" s="12" t="s">
        <v>64</v>
      </c>
      <c r="O8" s="12" t="s">
        <v>65</v>
      </c>
      <c r="P8" s="10" t="s">
        <v>30</v>
      </c>
      <c r="Q8" s="12"/>
      <c r="R8" s="13">
        <f t="shared" si="0"/>
        <v>11.6875</v>
      </c>
      <c r="S8" s="12" t="s">
        <v>40</v>
      </c>
    </row>
    <row r="9" spans="1:19" ht="69.75" customHeight="1" x14ac:dyDescent="0.45">
      <c r="A9" s="8" t="s">
        <v>19</v>
      </c>
      <c r="B9" s="8" t="s">
        <v>20</v>
      </c>
      <c r="C9" s="8" t="s">
        <v>21</v>
      </c>
      <c r="D9" s="9">
        <v>1.67</v>
      </c>
      <c r="E9" s="10" t="s">
        <v>45</v>
      </c>
      <c r="F9" s="11">
        <v>6.3</v>
      </c>
      <c r="G9" s="10" t="s">
        <v>66</v>
      </c>
      <c r="H9" s="10" t="s">
        <v>67</v>
      </c>
      <c r="I9" s="10" t="s">
        <v>34</v>
      </c>
      <c r="J9" s="12" t="s">
        <v>35</v>
      </c>
      <c r="K9" s="12" t="s">
        <v>19</v>
      </c>
      <c r="L9" s="12" t="s">
        <v>68</v>
      </c>
      <c r="M9" s="12"/>
      <c r="N9" s="12"/>
      <c r="O9" s="12"/>
      <c r="P9" s="10" t="s">
        <v>69</v>
      </c>
      <c r="Q9" s="12"/>
      <c r="R9" s="13">
        <f t="shared" si="0"/>
        <v>10.520999999999999</v>
      </c>
      <c r="S9" s="12"/>
    </row>
    <row r="10" spans="1:19" ht="69.75" customHeight="1" x14ac:dyDescent="0.45">
      <c r="A10" s="8" t="s">
        <v>19</v>
      </c>
      <c r="B10" s="8" t="s">
        <v>20</v>
      </c>
      <c r="C10" s="8" t="s">
        <v>21</v>
      </c>
      <c r="D10" s="9">
        <v>2.2599999999999998</v>
      </c>
      <c r="E10" s="10" t="s">
        <v>22</v>
      </c>
      <c r="F10" s="11">
        <v>4.62</v>
      </c>
      <c r="G10" s="10" t="s">
        <v>70</v>
      </c>
      <c r="H10" s="10" t="s">
        <v>71</v>
      </c>
      <c r="I10" s="10" t="s">
        <v>34</v>
      </c>
      <c r="J10" s="12" t="s">
        <v>35</v>
      </c>
      <c r="K10" s="12" t="s">
        <v>19</v>
      </c>
      <c r="L10" s="12" t="s">
        <v>72</v>
      </c>
      <c r="M10" s="12"/>
      <c r="N10" s="12"/>
      <c r="O10" s="12"/>
      <c r="P10" s="10" t="s">
        <v>69</v>
      </c>
      <c r="Q10" s="12"/>
      <c r="R10" s="13">
        <f t="shared" si="0"/>
        <v>10.441199999999998</v>
      </c>
      <c r="S10" s="12"/>
    </row>
    <row r="11" spans="1:19" ht="69.75" customHeight="1" x14ac:dyDescent="0.45">
      <c r="A11" s="8" t="s">
        <v>19</v>
      </c>
      <c r="B11" s="8" t="s">
        <v>20</v>
      </c>
      <c r="C11" s="8" t="s">
        <v>21</v>
      </c>
      <c r="D11" s="9">
        <v>2.5</v>
      </c>
      <c r="E11" s="10" t="s">
        <v>22</v>
      </c>
      <c r="F11" s="11">
        <v>5.04</v>
      </c>
      <c r="G11" s="10" t="s">
        <v>73</v>
      </c>
      <c r="H11" s="10" t="s">
        <v>74</v>
      </c>
      <c r="I11" s="10" t="s">
        <v>34</v>
      </c>
      <c r="J11" s="12" t="s">
        <v>35</v>
      </c>
      <c r="K11" s="12" t="s">
        <v>19</v>
      </c>
      <c r="L11" s="12" t="s">
        <v>75</v>
      </c>
      <c r="M11" s="12"/>
      <c r="N11" s="12"/>
      <c r="O11" s="12"/>
      <c r="P11" s="10" t="s">
        <v>69</v>
      </c>
      <c r="Q11" s="12"/>
      <c r="R11" s="13">
        <f t="shared" si="0"/>
        <v>12.6</v>
      </c>
      <c r="S11" s="12"/>
    </row>
    <row r="12" spans="1:19" ht="69.75" customHeight="1" x14ac:dyDescent="0.45">
      <c r="A12" s="8" t="s">
        <v>19</v>
      </c>
      <c r="B12" s="8" t="s">
        <v>20</v>
      </c>
      <c r="C12" s="8" t="s">
        <v>21</v>
      </c>
      <c r="D12" s="9">
        <v>2.5</v>
      </c>
      <c r="E12" s="10" t="s">
        <v>22</v>
      </c>
      <c r="F12" s="11">
        <v>4.3600000000000003</v>
      </c>
      <c r="G12" s="10" t="s">
        <v>76</v>
      </c>
      <c r="H12" s="10" t="s">
        <v>77</v>
      </c>
      <c r="I12" s="10" t="s">
        <v>34</v>
      </c>
      <c r="J12" s="12" t="s">
        <v>35</v>
      </c>
      <c r="K12" s="12" t="s">
        <v>19</v>
      </c>
      <c r="L12" s="12" t="s">
        <v>78</v>
      </c>
      <c r="M12" s="12"/>
      <c r="N12" s="12"/>
      <c r="O12" s="12"/>
      <c r="P12" s="10" t="s">
        <v>69</v>
      </c>
      <c r="Q12" s="12"/>
      <c r="R12" s="13">
        <f t="shared" si="0"/>
        <v>10.9</v>
      </c>
      <c r="S12" s="12"/>
    </row>
    <row r="13" spans="1:19" ht="69.75" customHeight="1" x14ac:dyDescent="0.45">
      <c r="A13" s="8" t="s">
        <v>19</v>
      </c>
      <c r="B13" s="8" t="s">
        <v>20</v>
      </c>
      <c r="C13" s="8" t="s">
        <v>21</v>
      </c>
      <c r="D13" s="9">
        <v>2.5</v>
      </c>
      <c r="E13" s="10" t="s">
        <v>22</v>
      </c>
      <c r="F13" s="5">
        <v>6.7</v>
      </c>
      <c r="G13" s="10" t="s">
        <v>79</v>
      </c>
      <c r="H13" s="10" t="s">
        <v>80</v>
      </c>
      <c r="I13" s="10" t="s">
        <v>34</v>
      </c>
      <c r="J13" s="12" t="s">
        <v>35</v>
      </c>
      <c r="K13" s="12" t="s">
        <v>19</v>
      </c>
      <c r="L13" s="12" t="s">
        <v>81</v>
      </c>
      <c r="M13" s="12" t="s">
        <v>82</v>
      </c>
      <c r="N13" s="12" t="s">
        <v>83</v>
      </c>
      <c r="O13" s="12" t="s">
        <v>84</v>
      </c>
      <c r="P13" s="10"/>
      <c r="Q13" s="12"/>
      <c r="R13" s="13">
        <f t="shared" si="0"/>
        <v>16.75</v>
      </c>
      <c r="S13" s="12" t="s">
        <v>40</v>
      </c>
    </row>
    <row r="14" spans="1:19" ht="69.75" customHeight="1" x14ac:dyDescent="0.45">
      <c r="A14" s="8" t="s">
        <v>19</v>
      </c>
      <c r="B14" s="8" t="s">
        <v>20</v>
      </c>
      <c r="C14" s="8" t="s">
        <v>21</v>
      </c>
      <c r="D14" s="9">
        <v>2</v>
      </c>
      <c r="E14" s="10" t="s">
        <v>22</v>
      </c>
      <c r="F14" s="11">
        <v>7.1</v>
      </c>
      <c r="G14" s="10" t="s">
        <v>85</v>
      </c>
      <c r="H14" s="10" t="s">
        <v>86</v>
      </c>
      <c r="I14" s="10" t="s">
        <v>61</v>
      </c>
      <c r="J14" s="12" t="s">
        <v>35</v>
      </c>
      <c r="K14" s="12" t="s">
        <v>19</v>
      </c>
      <c r="L14" s="12" t="s">
        <v>87</v>
      </c>
      <c r="M14" s="12" t="s">
        <v>88</v>
      </c>
      <c r="N14" s="12" t="s">
        <v>89</v>
      </c>
      <c r="O14" s="12" t="s">
        <v>90</v>
      </c>
      <c r="P14" s="10"/>
      <c r="Q14" s="12"/>
      <c r="R14" s="13">
        <f t="shared" si="0"/>
        <v>14.2</v>
      </c>
      <c r="S14" s="12" t="s">
        <v>40</v>
      </c>
    </row>
    <row r="15" spans="1:19" ht="69.75" customHeight="1" x14ac:dyDescent="0.45">
      <c r="A15" s="8" t="s">
        <v>19</v>
      </c>
      <c r="B15" s="8" t="s">
        <v>20</v>
      </c>
      <c r="C15" s="8" t="s">
        <v>21</v>
      </c>
      <c r="D15" s="9">
        <v>1.9</v>
      </c>
      <c r="E15" s="10" t="s">
        <v>22</v>
      </c>
      <c r="F15" s="11">
        <v>4.5999999999999996</v>
      </c>
      <c r="G15" s="10" t="s">
        <v>91</v>
      </c>
      <c r="H15" s="10" t="s">
        <v>92</v>
      </c>
      <c r="I15" s="10" t="s">
        <v>61</v>
      </c>
      <c r="J15" s="12" t="s">
        <v>35</v>
      </c>
      <c r="K15" s="12" t="s">
        <v>19</v>
      </c>
      <c r="L15" s="12" t="s">
        <v>93</v>
      </c>
      <c r="M15" s="12" t="s">
        <v>94</v>
      </c>
      <c r="N15" s="12" t="s">
        <v>95</v>
      </c>
      <c r="O15" s="12" t="s">
        <v>96</v>
      </c>
      <c r="P15" s="10"/>
      <c r="Q15" s="12"/>
      <c r="R15" s="13">
        <f t="shared" si="0"/>
        <v>8.7399999999999984</v>
      </c>
      <c r="S15" s="12" t="s">
        <v>40</v>
      </c>
    </row>
    <row r="16" spans="1:19" ht="69.75" customHeight="1" x14ac:dyDescent="0.45">
      <c r="A16" s="8" t="s">
        <v>19</v>
      </c>
      <c r="B16" s="8" t="s">
        <v>20</v>
      </c>
      <c r="C16" s="8" t="s">
        <v>21</v>
      </c>
      <c r="D16" s="9">
        <v>2.4</v>
      </c>
      <c r="E16" s="10" t="s">
        <v>22</v>
      </c>
      <c r="F16" s="11">
        <v>5.5</v>
      </c>
      <c r="G16" s="10" t="s">
        <v>97</v>
      </c>
      <c r="H16" s="10" t="s">
        <v>33</v>
      </c>
      <c r="I16" s="10" t="s">
        <v>34</v>
      </c>
      <c r="J16" s="12" t="s">
        <v>35</v>
      </c>
      <c r="K16" s="12" t="s">
        <v>19</v>
      </c>
      <c r="L16" s="12" t="s">
        <v>98</v>
      </c>
      <c r="M16" s="12" t="s">
        <v>99</v>
      </c>
      <c r="N16" s="12" t="s">
        <v>100</v>
      </c>
      <c r="O16" s="12" t="s">
        <v>101</v>
      </c>
      <c r="P16" s="10"/>
      <c r="Q16" s="12"/>
      <c r="R16" s="13">
        <f t="shared" si="0"/>
        <v>13.2</v>
      </c>
      <c r="S16" s="12" t="s">
        <v>40</v>
      </c>
    </row>
    <row r="17" spans="1:19" ht="69.75" customHeight="1" x14ac:dyDescent="0.45">
      <c r="A17" s="8" t="s">
        <v>19</v>
      </c>
      <c r="B17" s="8" t="s">
        <v>20</v>
      </c>
      <c r="C17" s="8" t="s">
        <v>21</v>
      </c>
      <c r="D17" s="9">
        <v>2.0499999999999998</v>
      </c>
      <c r="E17" s="10" t="s">
        <v>22</v>
      </c>
      <c r="F17" s="11">
        <v>5.5</v>
      </c>
      <c r="G17" s="10" t="s">
        <v>102</v>
      </c>
      <c r="H17" s="10" t="s">
        <v>103</v>
      </c>
      <c r="I17" s="10" t="s">
        <v>61</v>
      </c>
      <c r="J17" s="12" t="s">
        <v>35</v>
      </c>
      <c r="K17" s="12" t="s">
        <v>19</v>
      </c>
      <c r="L17" s="12" t="s">
        <v>104</v>
      </c>
      <c r="M17" s="12" t="s">
        <v>105</v>
      </c>
      <c r="N17" s="12" t="s">
        <v>106</v>
      </c>
      <c r="O17" s="12" t="s">
        <v>107</v>
      </c>
      <c r="P17" s="10"/>
      <c r="Q17" s="12"/>
      <c r="R17" s="13">
        <f t="shared" si="0"/>
        <v>11.274999999999999</v>
      </c>
      <c r="S17" s="12" t="s">
        <v>40</v>
      </c>
    </row>
    <row r="18" spans="1:19" ht="69.75" customHeight="1" x14ac:dyDescent="0.45">
      <c r="A18" s="8" t="s">
        <v>19</v>
      </c>
      <c r="B18" s="8" t="s">
        <v>20</v>
      </c>
      <c r="C18" s="8" t="s">
        <v>21</v>
      </c>
      <c r="D18" s="9">
        <v>2</v>
      </c>
      <c r="E18" s="10" t="s">
        <v>22</v>
      </c>
      <c r="F18" s="11">
        <v>4</v>
      </c>
      <c r="G18" s="10" t="s">
        <v>108</v>
      </c>
      <c r="H18" s="10" t="s">
        <v>109</v>
      </c>
      <c r="I18" s="10" t="s">
        <v>110</v>
      </c>
      <c r="J18" s="12" t="s">
        <v>35</v>
      </c>
      <c r="K18" s="12" t="s">
        <v>19</v>
      </c>
      <c r="L18" s="12" t="s">
        <v>111</v>
      </c>
      <c r="M18" s="12" t="s">
        <v>112</v>
      </c>
      <c r="N18" s="12" t="s">
        <v>113</v>
      </c>
      <c r="O18" s="12" t="s">
        <v>114</v>
      </c>
      <c r="P18" s="10"/>
      <c r="Q18" s="12"/>
      <c r="R18" s="13">
        <f t="shared" si="0"/>
        <v>8</v>
      </c>
      <c r="S18" s="12" t="s">
        <v>40</v>
      </c>
    </row>
    <row r="19" spans="1:19" ht="69.75" customHeight="1" x14ac:dyDescent="0.45">
      <c r="A19" s="8" t="s">
        <v>19</v>
      </c>
      <c r="B19" s="8" t="s">
        <v>20</v>
      </c>
      <c r="C19" s="8" t="s">
        <v>21</v>
      </c>
      <c r="D19" s="9">
        <v>2.35</v>
      </c>
      <c r="E19" s="10" t="s">
        <v>22</v>
      </c>
      <c r="F19" s="11">
        <v>5.9</v>
      </c>
      <c r="G19" s="10" t="s">
        <v>115</v>
      </c>
      <c r="H19" s="10" t="s">
        <v>116</v>
      </c>
      <c r="I19" s="10" t="s">
        <v>61</v>
      </c>
      <c r="J19" s="12" t="s">
        <v>35</v>
      </c>
      <c r="K19" s="12" t="s">
        <v>19</v>
      </c>
      <c r="L19" s="12" t="s">
        <v>117</v>
      </c>
      <c r="M19" s="12" t="s">
        <v>118</v>
      </c>
      <c r="N19" s="12" t="s">
        <v>119</v>
      </c>
      <c r="O19" s="12" t="s">
        <v>120</v>
      </c>
      <c r="P19" s="10" t="s">
        <v>121</v>
      </c>
      <c r="Q19" s="12"/>
      <c r="R19" s="13">
        <f t="shared" si="0"/>
        <v>13.865000000000002</v>
      </c>
      <c r="S19" s="12" t="s">
        <v>40</v>
      </c>
    </row>
    <row r="20" spans="1:19" ht="69.75" customHeight="1" x14ac:dyDescent="0.45">
      <c r="A20" s="15" t="s">
        <v>122</v>
      </c>
      <c r="B20" s="15" t="s">
        <v>20</v>
      </c>
      <c r="C20" s="15" t="s">
        <v>21</v>
      </c>
      <c r="D20" s="16">
        <v>1</v>
      </c>
      <c r="E20" s="4" t="s">
        <v>22</v>
      </c>
      <c r="F20" s="5">
        <v>4.95</v>
      </c>
      <c r="G20" s="4" t="s">
        <v>23</v>
      </c>
      <c r="H20" s="4" t="s">
        <v>123</v>
      </c>
      <c r="I20" s="4" t="s">
        <v>124</v>
      </c>
      <c r="J20" s="6" t="s">
        <v>26</v>
      </c>
      <c r="K20" s="6" t="s">
        <v>122</v>
      </c>
      <c r="L20" s="6" t="s">
        <v>125</v>
      </c>
      <c r="M20" s="6"/>
      <c r="N20" s="6" t="s">
        <v>126</v>
      </c>
      <c r="O20" s="6" t="s">
        <v>127</v>
      </c>
      <c r="P20" s="4" t="s">
        <v>30</v>
      </c>
      <c r="Q20" s="6" t="s">
        <v>128</v>
      </c>
      <c r="R20" s="7">
        <f t="shared" si="0"/>
        <v>4.95</v>
      </c>
      <c r="S20" s="6" t="s">
        <v>129</v>
      </c>
    </row>
    <row r="21" spans="1:19" ht="69.75" customHeight="1" x14ac:dyDescent="0.45">
      <c r="A21" s="17" t="s">
        <v>130</v>
      </c>
      <c r="B21" s="17" t="s">
        <v>20</v>
      </c>
      <c r="C21" s="17" t="s">
        <v>21</v>
      </c>
      <c r="D21" s="16">
        <v>2.2000000000000002</v>
      </c>
      <c r="E21" s="4" t="s">
        <v>45</v>
      </c>
      <c r="F21" s="5">
        <v>6.5</v>
      </c>
      <c r="G21" s="4" t="s">
        <v>23</v>
      </c>
      <c r="H21" s="4" t="s">
        <v>131</v>
      </c>
      <c r="I21" s="4" t="s">
        <v>124</v>
      </c>
      <c r="J21" s="6" t="s">
        <v>26</v>
      </c>
      <c r="K21" s="6" t="s">
        <v>130</v>
      </c>
      <c r="L21" s="6" t="s">
        <v>132</v>
      </c>
      <c r="M21" s="6"/>
      <c r="N21" s="6" t="s">
        <v>133</v>
      </c>
      <c r="O21" s="6" t="s">
        <v>134</v>
      </c>
      <c r="P21" s="4" t="s">
        <v>30</v>
      </c>
      <c r="Q21" s="6" t="s">
        <v>135</v>
      </c>
      <c r="R21" s="7">
        <f t="shared" si="0"/>
        <v>14.3</v>
      </c>
      <c r="S21" s="6"/>
    </row>
    <row r="22" spans="1:19" ht="69.75" customHeight="1" x14ac:dyDescent="0.45">
      <c r="A22" s="17" t="s">
        <v>136</v>
      </c>
      <c r="B22" s="17" t="s">
        <v>20</v>
      </c>
      <c r="C22" s="17" t="s">
        <v>21</v>
      </c>
      <c r="D22" s="16">
        <v>0.6</v>
      </c>
      <c r="E22" s="4" t="s">
        <v>22</v>
      </c>
      <c r="F22" s="5">
        <v>6.9</v>
      </c>
      <c r="G22" s="4" t="s">
        <v>23</v>
      </c>
      <c r="H22" s="4" t="s">
        <v>137</v>
      </c>
      <c r="I22" s="4" t="s">
        <v>138</v>
      </c>
      <c r="J22" s="6" t="s">
        <v>26</v>
      </c>
      <c r="K22" s="6" t="s">
        <v>136</v>
      </c>
      <c r="L22" s="6" t="s">
        <v>139</v>
      </c>
      <c r="M22" s="6"/>
      <c r="N22" s="6" t="s">
        <v>140</v>
      </c>
      <c r="O22" s="6" t="s">
        <v>141</v>
      </c>
      <c r="P22" s="4" t="s">
        <v>30</v>
      </c>
      <c r="Q22" s="6" t="s">
        <v>142</v>
      </c>
      <c r="R22" s="7">
        <f t="shared" si="0"/>
        <v>4.1399999999999997</v>
      </c>
      <c r="S22" s="6" t="s">
        <v>129</v>
      </c>
    </row>
    <row r="23" spans="1:19" ht="69.75" customHeight="1" x14ac:dyDescent="0.45">
      <c r="A23" s="17" t="s">
        <v>143</v>
      </c>
      <c r="B23" s="17" t="s">
        <v>20</v>
      </c>
      <c r="C23" s="17" t="s">
        <v>21</v>
      </c>
      <c r="D23" s="16">
        <v>0.9</v>
      </c>
      <c r="E23" s="4" t="s">
        <v>22</v>
      </c>
      <c r="F23" s="5">
        <v>5.36</v>
      </c>
      <c r="G23" s="4" t="s">
        <v>144</v>
      </c>
      <c r="H23" s="4" t="s">
        <v>145</v>
      </c>
      <c r="I23" s="4" t="s">
        <v>34</v>
      </c>
      <c r="J23" s="6" t="s">
        <v>26</v>
      </c>
      <c r="K23" s="6" t="s">
        <v>143</v>
      </c>
      <c r="L23" s="6" t="s">
        <v>146</v>
      </c>
      <c r="M23" s="6"/>
      <c r="N23" s="6" t="s">
        <v>147</v>
      </c>
      <c r="O23" s="6" t="s">
        <v>148</v>
      </c>
      <c r="P23" s="4" t="s">
        <v>69</v>
      </c>
      <c r="Q23" s="6" t="s">
        <v>149</v>
      </c>
      <c r="R23" s="7">
        <f t="shared" si="0"/>
        <v>4.8240000000000007</v>
      </c>
      <c r="S23" s="6" t="s">
        <v>129</v>
      </c>
    </row>
    <row r="24" spans="1:19" ht="39" customHeight="1" x14ac:dyDescent="0.45">
      <c r="A24" s="17" t="s">
        <v>150</v>
      </c>
      <c r="B24" s="17" t="s">
        <v>151</v>
      </c>
      <c r="C24" s="17" t="s">
        <v>152</v>
      </c>
      <c r="D24" s="16">
        <v>0.4</v>
      </c>
      <c r="E24" s="4" t="s">
        <v>22</v>
      </c>
      <c r="F24" s="5">
        <v>28</v>
      </c>
      <c r="G24" s="4" t="s">
        <v>23</v>
      </c>
      <c r="H24" s="4" t="s">
        <v>153</v>
      </c>
      <c r="I24" s="4" t="s">
        <v>25</v>
      </c>
      <c r="J24" s="6" t="s">
        <v>26</v>
      </c>
      <c r="K24" s="6" t="s">
        <v>150</v>
      </c>
      <c r="L24" s="6" t="s">
        <v>154</v>
      </c>
      <c r="M24" s="6"/>
      <c r="N24" s="6" t="s">
        <v>155</v>
      </c>
      <c r="O24" s="6" t="s">
        <v>156</v>
      </c>
      <c r="P24" s="4" t="s">
        <v>157</v>
      </c>
      <c r="Q24" s="6"/>
      <c r="R24" s="7">
        <f t="shared" si="0"/>
        <v>11.200000000000001</v>
      </c>
      <c r="S24" s="6" t="s">
        <v>129</v>
      </c>
    </row>
    <row r="25" spans="1:19" ht="39" customHeight="1" x14ac:dyDescent="0.45">
      <c r="A25" s="17" t="s">
        <v>158</v>
      </c>
      <c r="B25" s="17" t="s">
        <v>151</v>
      </c>
      <c r="C25" s="17" t="s">
        <v>152</v>
      </c>
      <c r="D25" s="16">
        <v>0.2</v>
      </c>
      <c r="E25" s="4" t="s">
        <v>45</v>
      </c>
      <c r="F25" s="5">
        <v>48</v>
      </c>
      <c r="G25" s="4" t="s">
        <v>23</v>
      </c>
      <c r="H25" s="4" t="s">
        <v>159</v>
      </c>
      <c r="I25" s="4" t="s">
        <v>25</v>
      </c>
      <c r="J25" s="6" t="s">
        <v>26</v>
      </c>
      <c r="K25" s="6" t="s">
        <v>158</v>
      </c>
      <c r="L25" s="6" t="s">
        <v>160</v>
      </c>
      <c r="M25" s="6"/>
      <c r="N25" s="6" t="s">
        <v>161</v>
      </c>
      <c r="O25" s="6" t="s">
        <v>162</v>
      </c>
      <c r="P25" s="4" t="s">
        <v>163</v>
      </c>
      <c r="Q25" s="6"/>
      <c r="R25" s="7">
        <f t="shared" si="0"/>
        <v>9.6000000000000014</v>
      </c>
      <c r="S25" s="6" t="s">
        <v>129</v>
      </c>
    </row>
    <row r="26" spans="1:19" ht="39" customHeight="1" x14ac:dyDescent="0.45">
      <c r="A26" s="17" t="s">
        <v>164</v>
      </c>
      <c r="B26" s="17" t="s">
        <v>151</v>
      </c>
      <c r="C26" s="17" t="s">
        <v>152</v>
      </c>
      <c r="D26" s="16">
        <v>1.8</v>
      </c>
      <c r="E26" s="4" t="s">
        <v>45</v>
      </c>
      <c r="F26" s="5">
        <v>5.5</v>
      </c>
      <c r="G26" s="4" t="s">
        <v>23</v>
      </c>
      <c r="H26" s="4" t="s">
        <v>165</v>
      </c>
      <c r="I26" s="4" t="s">
        <v>25</v>
      </c>
      <c r="J26" s="6" t="s">
        <v>26</v>
      </c>
      <c r="K26" s="6" t="s">
        <v>164</v>
      </c>
      <c r="L26" s="6" t="s">
        <v>166</v>
      </c>
      <c r="M26" s="6"/>
      <c r="N26" s="6" t="s">
        <v>167</v>
      </c>
      <c r="O26" s="6" t="s">
        <v>168</v>
      </c>
      <c r="P26" s="4" t="s">
        <v>157</v>
      </c>
      <c r="Q26" s="6"/>
      <c r="R26" s="7">
        <f t="shared" si="0"/>
        <v>9.9</v>
      </c>
      <c r="S26" s="6" t="s">
        <v>129</v>
      </c>
    </row>
    <row r="27" spans="1:19" ht="39" customHeight="1" x14ac:dyDescent="0.45">
      <c r="A27" s="17" t="s">
        <v>169</v>
      </c>
      <c r="B27" s="17" t="s">
        <v>151</v>
      </c>
      <c r="C27" s="17" t="s">
        <v>152</v>
      </c>
      <c r="D27" s="16">
        <v>0.6</v>
      </c>
      <c r="E27" s="4" t="s">
        <v>22</v>
      </c>
      <c r="F27" s="5">
        <v>18</v>
      </c>
      <c r="G27" s="4" t="s">
        <v>23</v>
      </c>
      <c r="H27" s="4" t="s">
        <v>170</v>
      </c>
      <c r="I27" s="4" t="s">
        <v>25</v>
      </c>
      <c r="J27" s="6" t="s">
        <v>26</v>
      </c>
      <c r="K27" s="6" t="s">
        <v>169</v>
      </c>
      <c r="L27" s="6" t="s">
        <v>171</v>
      </c>
      <c r="M27" s="6"/>
      <c r="N27" s="6" t="s">
        <v>172</v>
      </c>
      <c r="O27" s="6" t="s">
        <v>173</v>
      </c>
      <c r="P27" s="4" t="s">
        <v>157</v>
      </c>
      <c r="Q27" s="6"/>
      <c r="R27" s="7">
        <f t="shared" si="0"/>
        <v>10.799999999999999</v>
      </c>
      <c r="S27" s="6" t="s">
        <v>129</v>
      </c>
    </row>
    <row r="28" spans="1:19" ht="51.75" customHeight="1" x14ac:dyDescent="0.45">
      <c r="A28" s="17" t="s">
        <v>174</v>
      </c>
      <c r="B28" s="17" t="s">
        <v>151</v>
      </c>
      <c r="C28" s="17" t="s">
        <v>152</v>
      </c>
      <c r="D28" s="16">
        <v>0.8</v>
      </c>
      <c r="E28" s="4" t="s">
        <v>22</v>
      </c>
      <c r="F28" s="5">
        <v>10</v>
      </c>
      <c r="G28" s="4" t="s">
        <v>23</v>
      </c>
      <c r="H28" s="4" t="s">
        <v>175</v>
      </c>
      <c r="I28" s="4" t="s">
        <v>25</v>
      </c>
      <c r="J28" s="6" t="s">
        <v>26</v>
      </c>
      <c r="K28" s="6" t="s">
        <v>174</v>
      </c>
      <c r="L28" s="6" t="s">
        <v>176</v>
      </c>
      <c r="M28" s="6"/>
      <c r="N28" s="6" t="s">
        <v>177</v>
      </c>
      <c r="O28" s="6" t="s">
        <v>178</v>
      </c>
      <c r="P28" s="4" t="s">
        <v>163</v>
      </c>
      <c r="Q28" s="6"/>
      <c r="R28" s="7">
        <f t="shared" si="0"/>
        <v>8</v>
      </c>
      <c r="S28" s="6" t="s">
        <v>129</v>
      </c>
    </row>
    <row r="29" spans="1:19" ht="30" customHeight="1" x14ac:dyDescent="0.45">
      <c r="A29" s="17" t="s">
        <v>179</v>
      </c>
      <c r="B29" s="17" t="s">
        <v>180</v>
      </c>
      <c r="C29" s="17" t="s">
        <v>181</v>
      </c>
      <c r="D29" s="16">
        <v>0.8</v>
      </c>
      <c r="E29" s="4" t="s">
        <v>22</v>
      </c>
      <c r="F29" s="5">
        <v>6.5</v>
      </c>
      <c r="G29" s="4" t="s">
        <v>23</v>
      </c>
      <c r="H29" s="4" t="s">
        <v>182</v>
      </c>
      <c r="I29" s="4" t="s">
        <v>25</v>
      </c>
      <c r="J29" s="6" t="s">
        <v>26</v>
      </c>
      <c r="K29" s="6" t="s">
        <v>179</v>
      </c>
      <c r="L29" s="6" t="s">
        <v>183</v>
      </c>
      <c r="M29" s="6"/>
      <c r="N29" s="6"/>
      <c r="O29" s="6"/>
      <c r="P29" s="4" t="s">
        <v>157</v>
      </c>
      <c r="Q29" s="6"/>
      <c r="R29" s="7">
        <f t="shared" si="0"/>
        <v>5.2</v>
      </c>
      <c r="S29" s="6" t="s">
        <v>129</v>
      </c>
    </row>
    <row r="30" spans="1:19" ht="64.5" customHeight="1" x14ac:dyDescent="0.45">
      <c r="A30" s="17" t="s">
        <v>184</v>
      </c>
      <c r="B30" s="17" t="s">
        <v>180</v>
      </c>
      <c r="C30" s="17" t="s">
        <v>181</v>
      </c>
      <c r="D30" s="16">
        <v>0.8</v>
      </c>
      <c r="E30" s="4" t="s">
        <v>22</v>
      </c>
      <c r="F30" s="5">
        <v>25</v>
      </c>
      <c r="G30" s="4" t="s">
        <v>23</v>
      </c>
      <c r="H30" s="4" t="s">
        <v>185</v>
      </c>
      <c r="I30" s="4" t="s">
        <v>25</v>
      </c>
      <c r="J30" s="6" t="s">
        <v>26</v>
      </c>
      <c r="K30" s="6" t="s">
        <v>184</v>
      </c>
      <c r="L30" s="6" t="s">
        <v>186</v>
      </c>
      <c r="M30" s="6"/>
      <c r="N30" s="6" t="s">
        <v>187</v>
      </c>
      <c r="O30" s="6" t="s">
        <v>188</v>
      </c>
      <c r="P30" s="4" t="s">
        <v>157</v>
      </c>
      <c r="Q30" s="6"/>
      <c r="R30" s="7">
        <f t="shared" si="0"/>
        <v>20</v>
      </c>
      <c r="S30" s="6" t="s">
        <v>129</v>
      </c>
    </row>
    <row r="31" spans="1:19" ht="64.5" customHeight="1" x14ac:dyDescent="0.45">
      <c r="A31" s="17" t="s">
        <v>189</v>
      </c>
      <c r="B31" s="17" t="s">
        <v>180</v>
      </c>
      <c r="C31" s="17" t="s">
        <v>181</v>
      </c>
      <c r="D31" s="16">
        <v>0.15</v>
      </c>
      <c r="E31" s="4" t="s">
        <v>22</v>
      </c>
      <c r="F31" s="5">
        <v>30</v>
      </c>
      <c r="G31" s="4" t="s">
        <v>23</v>
      </c>
      <c r="H31" s="4" t="s">
        <v>190</v>
      </c>
      <c r="I31" s="4" t="s">
        <v>25</v>
      </c>
      <c r="J31" s="6" t="s">
        <v>26</v>
      </c>
      <c r="K31" s="6" t="s">
        <v>189</v>
      </c>
      <c r="L31" s="6" t="s">
        <v>191</v>
      </c>
      <c r="M31" s="6"/>
      <c r="N31" s="6" t="s">
        <v>192</v>
      </c>
      <c r="O31" s="6" t="s">
        <v>193</v>
      </c>
      <c r="P31" s="4" t="s">
        <v>157</v>
      </c>
      <c r="Q31" s="6"/>
      <c r="R31" s="7">
        <f t="shared" si="0"/>
        <v>4.5</v>
      </c>
      <c r="S31" s="6" t="s">
        <v>129</v>
      </c>
    </row>
    <row r="32" spans="1:19" ht="64.5" customHeight="1" x14ac:dyDescent="0.45">
      <c r="A32" s="17" t="s">
        <v>194</v>
      </c>
      <c r="B32" s="17" t="s">
        <v>180</v>
      </c>
      <c r="C32" s="17" t="s">
        <v>181</v>
      </c>
      <c r="D32" s="16">
        <v>0.1</v>
      </c>
      <c r="E32" s="4" t="s">
        <v>22</v>
      </c>
      <c r="F32" s="5">
        <v>95</v>
      </c>
      <c r="G32" s="4" t="s">
        <v>23</v>
      </c>
      <c r="H32" s="4" t="s">
        <v>195</v>
      </c>
      <c r="I32" s="4" t="s">
        <v>25</v>
      </c>
      <c r="J32" s="6" t="s">
        <v>26</v>
      </c>
      <c r="K32" s="6" t="s">
        <v>194</v>
      </c>
      <c r="L32" s="6" t="s">
        <v>196</v>
      </c>
      <c r="M32" s="6"/>
      <c r="N32" s="6" t="s">
        <v>197</v>
      </c>
      <c r="O32" s="6" t="s">
        <v>198</v>
      </c>
      <c r="P32" s="4" t="s">
        <v>163</v>
      </c>
      <c r="Q32" s="6"/>
      <c r="R32" s="7">
        <f t="shared" si="0"/>
        <v>9.5</v>
      </c>
      <c r="S32" s="6" t="s">
        <v>129</v>
      </c>
    </row>
    <row r="33" spans="1:19" ht="30" customHeight="1" x14ac:dyDescent="0.45">
      <c r="A33" s="17" t="s">
        <v>199</v>
      </c>
      <c r="B33" s="17" t="s">
        <v>180</v>
      </c>
      <c r="C33" s="17" t="s">
        <v>181</v>
      </c>
      <c r="D33" s="16">
        <v>0.05</v>
      </c>
      <c r="E33" s="4" t="s">
        <v>45</v>
      </c>
      <c r="F33" s="5">
        <v>45</v>
      </c>
      <c r="G33" s="4" t="s">
        <v>23</v>
      </c>
      <c r="H33" s="4" t="s">
        <v>200</v>
      </c>
      <c r="I33" s="4" t="s">
        <v>25</v>
      </c>
      <c r="J33" s="6" t="s">
        <v>26</v>
      </c>
      <c r="K33" s="6" t="s">
        <v>199</v>
      </c>
      <c r="L33" s="6" t="s">
        <v>201</v>
      </c>
      <c r="M33" s="6"/>
      <c r="N33" s="6"/>
      <c r="O33" s="6"/>
      <c r="P33" s="4" t="s">
        <v>157</v>
      </c>
      <c r="Q33" s="6"/>
      <c r="R33" s="7">
        <f t="shared" si="0"/>
        <v>2.25</v>
      </c>
      <c r="S33" s="6" t="s">
        <v>129</v>
      </c>
    </row>
    <row r="34" spans="1:19" ht="64.5" customHeight="1" x14ac:dyDescent="0.45">
      <c r="A34" s="17" t="s">
        <v>202</v>
      </c>
      <c r="B34" s="17" t="s">
        <v>203</v>
      </c>
      <c r="C34" s="17" t="s">
        <v>204</v>
      </c>
      <c r="D34" s="16">
        <v>100</v>
      </c>
      <c r="E34" s="4" t="s">
        <v>45</v>
      </c>
      <c r="F34" s="5">
        <v>0.45</v>
      </c>
      <c r="G34" s="4" t="s">
        <v>23</v>
      </c>
      <c r="H34" s="4" t="s">
        <v>205</v>
      </c>
      <c r="I34" s="4" t="s">
        <v>25</v>
      </c>
      <c r="J34" s="6" t="s">
        <v>26</v>
      </c>
      <c r="K34" s="6" t="s">
        <v>202</v>
      </c>
      <c r="L34" s="6" t="s">
        <v>206</v>
      </c>
      <c r="M34" s="6"/>
      <c r="N34" s="6" t="s">
        <v>207</v>
      </c>
      <c r="O34" s="6" t="s">
        <v>208</v>
      </c>
      <c r="P34" s="4" t="s">
        <v>157</v>
      </c>
      <c r="Q34" s="6"/>
      <c r="R34" s="7">
        <f t="shared" si="0"/>
        <v>45</v>
      </c>
      <c r="S34" s="6" t="s">
        <v>129</v>
      </c>
    </row>
    <row r="35" spans="1:19" ht="39" customHeight="1" x14ac:dyDescent="0.45">
      <c r="A35" s="17" t="s">
        <v>209</v>
      </c>
      <c r="B35" s="17" t="s">
        <v>203</v>
      </c>
      <c r="C35" s="17" t="s">
        <v>210</v>
      </c>
      <c r="D35" s="16">
        <v>80</v>
      </c>
      <c r="E35" s="4" t="s">
        <v>45</v>
      </c>
      <c r="F35" s="5">
        <v>0.5</v>
      </c>
      <c r="G35" s="4" t="s">
        <v>23</v>
      </c>
      <c r="H35" s="4" t="s">
        <v>211</v>
      </c>
      <c r="I35" s="4" t="s">
        <v>34</v>
      </c>
      <c r="J35" s="6" t="s">
        <v>26</v>
      </c>
      <c r="K35" s="6" t="s">
        <v>209</v>
      </c>
      <c r="L35" s="6" t="s">
        <v>212</v>
      </c>
      <c r="M35" s="6"/>
      <c r="N35" s="6" t="s">
        <v>213</v>
      </c>
      <c r="O35" s="6" t="s">
        <v>214</v>
      </c>
      <c r="P35" s="4" t="s">
        <v>157</v>
      </c>
      <c r="Q35" s="6"/>
      <c r="R35" s="7">
        <f t="shared" ref="R35:R61" si="1">IF(AND(ISNUMBER(D35),ISNUMBER(F35)),D35*F35,"")</f>
        <v>40</v>
      </c>
      <c r="S35" s="6" t="s">
        <v>129</v>
      </c>
    </row>
    <row r="36" spans="1:19" ht="30" customHeight="1" x14ac:dyDescent="0.45">
      <c r="A36" s="17" t="s">
        <v>215</v>
      </c>
      <c r="B36" s="17" t="s">
        <v>216</v>
      </c>
      <c r="C36" s="17" t="s">
        <v>217</v>
      </c>
      <c r="D36" s="16">
        <v>10</v>
      </c>
      <c r="E36" s="4" t="s">
        <v>45</v>
      </c>
      <c r="F36" s="5">
        <v>0.8</v>
      </c>
      <c r="G36" s="4" t="s">
        <v>23</v>
      </c>
      <c r="H36" s="4" t="s">
        <v>218</v>
      </c>
      <c r="I36" s="4" t="s">
        <v>25</v>
      </c>
      <c r="J36" s="6" t="s">
        <v>26</v>
      </c>
      <c r="K36" s="6" t="s">
        <v>215</v>
      </c>
      <c r="L36" s="6" t="s">
        <v>219</v>
      </c>
      <c r="M36" s="6"/>
      <c r="N36" s="6"/>
      <c r="O36" s="6"/>
      <c r="P36" s="4" t="s">
        <v>163</v>
      </c>
      <c r="Q36" s="6"/>
      <c r="R36" s="7">
        <f t="shared" si="1"/>
        <v>8</v>
      </c>
      <c r="S36" s="6" t="s">
        <v>129</v>
      </c>
    </row>
    <row r="37" spans="1:19" ht="30" customHeight="1" x14ac:dyDescent="0.45">
      <c r="A37" s="17" t="s">
        <v>220</v>
      </c>
      <c r="B37" s="17" t="s">
        <v>216</v>
      </c>
      <c r="C37" s="17" t="s">
        <v>217</v>
      </c>
      <c r="D37" s="16">
        <v>1</v>
      </c>
      <c r="E37" s="4" t="s">
        <v>22</v>
      </c>
      <c r="F37" s="5">
        <v>4.2</v>
      </c>
      <c r="G37" s="4" t="s">
        <v>23</v>
      </c>
      <c r="H37" s="4" t="s">
        <v>221</v>
      </c>
      <c r="I37" s="4" t="s">
        <v>25</v>
      </c>
      <c r="J37" s="6" t="s">
        <v>26</v>
      </c>
      <c r="K37" s="6" t="s">
        <v>220</v>
      </c>
      <c r="L37" s="6" t="s">
        <v>222</v>
      </c>
      <c r="M37" s="6"/>
      <c r="N37" s="6"/>
      <c r="O37" s="6"/>
      <c r="P37" s="4" t="s">
        <v>223</v>
      </c>
      <c r="Q37" s="6"/>
      <c r="R37" s="7">
        <f t="shared" si="1"/>
        <v>4.2</v>
      </c>
      <c r="S37" s="6" t="s">
        <v>129</v>
      </c>
    </row>
    <row r="38" spans="1:19" ht="30" customHeight="1" x14ac:dyDescent="0.45">
      <c r="A38" s="17" t="s">
        <v>224</v>
      </c>
      <c r="B38" s="17" t="s">
        <v>225</v>
      </c>
      <c r="C38" s="17" t="s">
        <v>226</v>
      </c>
      <c r="D38" s="16">
        <v>0.5</v>
      </c>
      <c r="E38" s="4" t="s">
        <v>22</v>
      </c>
      <c r="F38" s="5">
        <v>28</v>
      </c>
      <c r="G38" s="4" t="s">
        <v>23</v>
      </c>
      <c r="H38" s="4" t="s">
        <v>227</v>
      </c>
      <c r="I38" s="4" t="s">
        <v>228</v>
      </c>
      <c r="J38" s="6" t="s">
        <v>26</v>
      </c>
      <c r="K38" s="6" t="s">
        <v>224</v>
      </c>
      <c r="L38" s="6" t="s">
        <v>229</v>
      </c>
      <c r="M38" s="6"/>
      <c r="N38" s="6"/>
      <c r="O38" s="6"/>
      <c r="P38" s="4" t="s">
        <v>163</v>
      </c>
      <c r="Q38" s="6"/>
      <c r="R38" s="7">
        <f t="shared" si="1"/>
        <v>14</v>
      </c>
      <c r="S38" s="6" t="s">
        <v>129</v>
      </c>
    </row>
    <row r="39" spans="1:19" ht="30" customHeight="1" x14ac:dyDescent="0.45">
      <c r="A39" s="17" t="s">
        <v>230</v>
      </c>
      <c r="B39" s="17" t="s">
        <v>231</v>
      </c>
      <c r="C39" s="17" t="s">
        <v>226</v>
      </c>
      <c r="D39" s="16">
        <v>0.2</v>
      </c>
      <c r="E39" s="4" t="s">
        <v>45</v>
      </c>
      <c r="F39" s="5">
        <v>38</v>
      </c>
      <c r="G39" s="4" t="s">
        <v>23</v>
      </c>
      <c r="H39" s="4" t="s">
        <v>232</v>
      </c>
      <c r="I39" s="4" t="s">
        <v>228</v>
      </c>
      <c r="J39" s="6" t="s">
        <v>26</v>
      </c>
      <c r="K39" s="6" t="s">
        <v>230</v>
      </c>
      <c r="L39" s="6" t="s">
        <v>233</v>
      </c>
      <c r="M39" s="6"/>
      <c r="N39" s="6"/>
      <c r="O39" s="6"/>
      <c r="P39" s="4" t="s">
        <v>163</v>
      </c>
      <c r="Q39" s="6"/>
      <c r="R39" s="7">
        <f t="shared" si="1"/>
        <v>7.6000000000000005</v>
      </c>
      <c r="S39" s="6" t="s">
        <v>129</v>
      </c>
    </row>
    <row r="40" spans="1:19" ht="30" customHeight="1" x14ac:dyDescent="0.45">
      <c r="A40" s="18" t="s">
        <v>234</v>
      </c>
      <c r="B40" s="18" t="s">
        <v>20</v>
      </c>
      <c r="C40" s="18" t="s">
        <v>21</v>
      </c>
      <c r="D40" s="19">
        <v>0.12</v>
      </c>
      <c r="E40" s="10" t="s">
        <v>22</v>
      </c>
      <c r="F40" s="11">
        <v>36.4</v>
      </c>
      <c r="G40" s="10" t="s">
        <v>235</v>
      </c>
      <c r="H40" s="10" t="s">
        <v>236</v>
      </c>
      <c r="I40" s="10" t="s">
        <v>237</v>
      </c>
      <c r="J40" s="12" t="s">
        <v>35</v>
      </c>
      <c r="K40" s="12" t="s">
        <v>234</v>
      </c>
      <c r="L40" s="12" t="s">
        <v>238</v>
      </c>
      <c r="M40" s="12" t="s">
        <v>239</v>
      </c>
      <c r="N40" s="12"/>
      <c r="O40" s="12"/>
      <c r="P40" s="10"/>
      <c r="Q40" s="12"/>
      <c r="R40" s="13">
        <f t="shared" si="1"/>
        <v>4.3679999999999994</v>
      </c>
      <c r="S40" s="12" t="s">
        <v>40</v>
      </c>
    </row>
    <row r="41" spans="1:19" ht="51.75" customHeight="1" x14ac:dyDescent="0.45">
      <c r="A41" s="18" t="s">
        <v>240</v>
      </c>
      <c r="B41" s="18" t="s">
        <v>20</v>
      </c>
      <c r="C41" s="18" t="s">
        <v>21</v>
      </c>
      <c r="D41" s="19">
        <v>7.0000000000000007E-2</v>
      </c>
      <c r="E41" s="10" t="s">
        <v>22</v>
      </c>
      <c r="F41" s="11">
        <v>40</v>
      </c>
      <c r="G41" s="10" t="s">
        <v>241</v>
      </c>
      <c r="H41" s="10" t="s">
        <v>242</v>
      </c>
      <c r="I41" s="10" t="s">
        <v>61</v>
      </c>
      <c r="J41" s="12" t="s">
        <v>35</v>
      </c>
      <c r="K41" s="12" t="s">
        <v>240</v>
      </c>
      <c r="L41" s="12" t="s">
        <v>243</v>
      </c>
      <c r="M41" s="12" t="s">
        <v>244</v>
      </c>
      <c r="N41" s="12"/>
      <c r="O41" s="12"/>
      <c r="P41" s="10"/>
      <c r="Q41" s="12"/>
      <c r="R41" s="13">
        <f t="shared" si="1"/>
        <v>2.8000000000000003</v>
      </c>
      <c r="S41" s="12" t="s">
        <v>40</v>
      </c>
    </row>
    <row r="42" spans="1:19" ht="39.75" customHeight="1" x14ac:dyDescent="0.45">
      <c r="A42" s="18" t="s">
        <v>240</v>
      </c>
      <c r="B42" s="18" t="s">
        <v>20</v>
      </c>
      <c r="C42" s="18" t="s">
        <v>21</v>
      </c>
      <c r="D42" s="19">
        <v>0.35</v>
      </c>
      <c r="E42" s="10" t="s">
        <v>22</v>
      </c>
      <c r="F42" s="11">
        <v>18.5</v>
      </c>
      <c r="G42" s="10" t="s">
        <v>23</v>
      </c>
      <c r="H42" s="10" t="s">
        <v>245</v>
      </c>
      <c r="I42" s="10" t="s">
        <v>237</v>
      </c>
      <c r="J42" s="12" t="s">
        <v>35</v>
      </c>
      <c r="K42" s="12" t="s">
        <v>240</v>
      </c>
      <c r="L42" s="12" t="s">
        <v>246</v>
      </c>
      <c r="M42" s="12"/>
      <c r="N42" s="12"/>
      <c r="O42" s="12"/>
      <c r="P42" s="10" t="s">
        <v>30</v>
      </c>
      <c r="Q42" s="12"/>
      <c r="R42" s="13">
        <f t="shared" si="1"/>
        <v>6.4749999999999996</v>
      </c>
      <c r="S42" s="12" t="s">
        <v>129</v>
      </c>
    </row>
    <row r="43" spans="1:19" ht="39.75" customHeight="1" x14ac:dyDescent="0.45">
      <c r="A43" s="18" t="s">
        <v>240</v>
      </c>
      <c r="B43" s="18" t="s">
        <v>20</v>
      </c>
      <c r="C43" s="18" t="s">
        <v>21</v>
      </c>
      <c r="D43" s="19">
        <v>0.6</v>
      </c>
      <c r="E43" s="10" t="s">
        <v>22</v>
      </c>
      <c r="F43" s="11">
        <v>16.91</v>
      </c>
      <c r="G43" s="10" t="s">
        <v>247</v>
      </c>
      <c r="H43" s="10" t="s">
        <v>248</v>
      </c>
      <c r="I43" s="10" t="s">
        <v>138</v>
      </c>
      <c r="J43" s="12" t="s">
        <v>35</v>
      </c>
      <c r="K43" s="12" t="s">
        <v>240</v>
      </c>
      <c r="L43" s="12" t="s">
        <v>249</v>
      </c>
      <c r="M43" s="12"/>
      <c r="N43" s="12"/>
      <c r="O43" s="12"/>
      <c r="P43" s="10" t="s">
        <v>69</v>
      </c>
      <c r="Q43" s="12"/>
      <c r="R43" s="13">
        <f t="shared" si="1"/>
        <v>10.145999999999999</v>
      </c>
      <c r="S43" s="12" t="s">
        <v>129</v>
      </c>
    </row>
    <row r="44" spans="1:19" ht="39" customHeight="1" x14ac:dyDescent="0.45">
      <c r="A44" s="18" t="s">
        <v>250</v>
      </c>
      <c r="B44" s="18" t="s">
        <v>20</v>
      </c>
      <c r="C44" s="18" t="s">
        <v>21</v>
      </c>
      <c r="D44" s="19">
        <v>0.03</v>
      </c>
      <c r="E44" s="10" t="s">
        <v>45</v>
      </c>
      <c r="F44" s="11">
        <v>178.5</v>
      </c>
      <c r="G44" s="10" t="s">
        <v>251</v>
      </c>
      <c r="H44" s="10" t="s">
        <v>252</v>
      </c>
      <c r="I44" s="10" t="s">
        <v>237</v>
      </c>
      <c r="J44" s="12" t="s">
        <v>35</v>
      </c>
      <c r="K44" s="12" t="s">
        <v>250</v>
      </c>
      <c r="L44" s="12" t="s">
        <v>253</v>
      </c>
      <c r="M44" s="12" t="s">
        <v>254</v>
      </c>
      <c r="N44" s="12"/>
      <c r="O44" s="12"/>
      <c r="P44" s="10" t="s">
        <v>255</v>
      </c>
      <c r="Q44" s="12"/>
      <c r="R44" s="13">
        <f t="shared" si="1"/>
        <v>5.3549999999999995</v>
      </c>
      <c r="S44" s="12" t="s">
        <v>40</v>
      </c>
    </row>
    <row r="45" spans="1:19" ht="39" customHeight="1" x14ac:dyDescent="0.45">
      <c r="A45" s="18" t="s">
        <v>256</v>
      </c>
      <c r="B45" s="18" t="s">
        <v>20</v>
      </c>
      <c r="C45" s="18" t="s">
        <v>21</v>
      </c>
      <c r="D45" s="19">
        <v>0.15</v>
      </c>
      <c r="E45" s="10" t="s">
        <v>22</v>
      </c>
      <c r="F45" s="11">
        <v>55</v>
      </c>
      <c r="G45" s="10" t="s">
        <v>257</v>
      </c>
      <c r="H45" s="10" t="s">
        <v>258</v>
      </c>
      <c r="I45" s="10" t="s">
        <v>124</v>
      </c>
      <c r="J45" s="12" t="s">
        <v>35</v>
      </c>
      <c r="K45" s="12" t="s">
        <v>256</v>
      </c>
      <c r="L45" s="12" t="s">
        <v>259</v>
      </c>
      <c r="M45" s="12" t="s">
        <v>260</v>
      </c>
      <c r="N45" s="12"/>
      <c r="O45" s="12"/>
      <c r="P45" s="10"/>
      <c r="Q45" s="12"/>
      <c r="R45" s="13">
        <f t="shared" si="1"/>
        <v>8.25</v>
      </c>
      <c r="S45" s="12" t="s">
        <v>40</v>
      </c>
    </row>
    <row r="46" spans="1:19" ht="39" customHeight="1" x14ac:dyDescent="0.45">
      <c r="A46" s="18" t="s">
        <v>261</v>
      </c>
      <c r="B46" s="18" t="s">
        <v>20</v>
      </c>
      <c r="C46" s="18" t="s">
        <v>21</v>
      </c>
      <c r="D46" s="19">
        <v>0.11</v>
      </c>
      <c r="E46" s="10" t="s">
        <v>22</v>
      </c>
      <c r="F46" s="11">
        <v>6.83</v>
      </c>
      <c r="G46" s="10" t="s">
        <v>262</v>
      </c>
      <c r="H46" s="10" t="s">
        <v>263</v>
      </c>
      <c r="I46" s="10" t="s">
        <v>124</v>
      </c>
      <c r="J46" s="12" t="s">
        <v>35</v>
      </c>
      <c r="K46" s="12" t="s">
        <v>261</v>
      </c>
      <c r="L46" s="12" t="s">
        <v>264</v>
      </c>
      <c r="M46" s="12" t="s">
        <v>265</v>
      </c>
      <c r="N46" s="12"/>
      <c r="O46" s="12"/>
      <c r="P46" s="10" t="s">
        <v>266</v>
      </c>
      <c r="Q46" s="12"/>
      <c r="R46" s="13">
        <f t="shared" si="1"/>
        <v>0.75129999999999997</v>
      </c>
      <c r="S46" s="12" t="s">
        <v>40</v>
      </c>
    </row>
    <row r="47" spans="1:19" ht="30" customHeight="1" x14ac:dyDescent="0.45">
      <c r="A47" s="18" t="s">
        <v>267</v>
      </c>
      <c r="B47" s="18" t="s">
        <v>20</v>
      </c>
      <c r="C47" s="18" t="s">
        <v>21</v>
      </c>
      <c r="D47" s="19">
        <v>1</v>
      </c>
      <c r="E47" s="10" t="s">
        <v>22</v>
      </c>
      <c r="F47" s="11">
        <v>21.21</v>
      </c>
      <c r="G47" s="10" t="s">
        <v>268</v>
      </c>
      <c r="H47" s="10" t="s">
        <v>269</v>
      </c>
      <c r="I47" s="10" t="s">
        <v>34</v>
      </c>
      <c r="J47" s="12" t="s">
        <v>35</v>
      </c>
      <c r="K47" s="12" t="s">
        <v>267</v>
      </c>
      <c r="L47" s="12" t="s">
        <v>270</v>
      </c>
      <c r="M47" s="12" t="s">
        <v>271</v>
      </c>
      <c r="N47" s="12"/>
      <c r="O47" s="12"/>
      <c r="P47" s="10" t="s">
        <v>272</v>
      </c>
      <c r="Q47" s="12"/>
      <c r="R47" s="13">
        <f t="shared" si="1"/>
        <v>21.21</v>
      </c>
      <c r="S47" s="12" t="s">
        <v>40</v>
      </c>
    </row>
    <row r="48" spans="1:19" ht="39.75" customHeight="1" x14ac:dyDescent="0.45">
      <c r="A48" s="18" t="s">
        <v>122</v>
      </c>
      <c r="B48" s="18" t="s">
        <v>20</v>
      </c>
      <c r="C48" s="18" t="s">
        <v>21</v>
      </c>
      <c r="D48" s="19">
        <v>1.2</v>
      </c>
      <c r="E48" s="10" t="s">
        <v>22</v>
      </c>
      <c r="F48" s="11">
        <v>3.8</v>
      </c>
      <c r="G48" s="10" t="s">
        <v>23</v>
      </c>
      <c r="H48" s="10" t="s">
        <v>273</v>
      </c>
      <c r="I48" s="10" t="s">
        <v>110</v>
      </c>
      <c r="J48" s="12" t="s">
        <v>35</v>
      </c>
      <c r="K48" s="12" t="s">
        <v>122</v>
      </c>
      <c r="L48" s="12" t="s">
        <v>274</v>
      </c>
      <c r="M48" s="12"/>
      <c r="N48" s="12"/>
      <c r="O48" s="12"/>
      <c r="P48" s="10" t="s">
        <v>30</v>
      </c>
      <c r="Q48" s="12"/>
      <c r="R48" s="13">
        <f t="shared" si="1"/>
        <v>4.5599999999999996</v>
      </c>
      <c r="S48" s="12" t="s">
        <v>129</v>
      </c>
    </row>
    <row r="49" spans="1:19" ht="54.75" customHeight="1" x14ac:dyDescent="0.45">
      <c r="A49" s="18" t="s">
        <v>122</v>
      </c>
      <c r="B49" s="18" t="s">
        <v>20</v>
      </c>
      <c r="C49" s="18" t="s">
        <v>21</v>
      </c>
      <c r="D49" s="19">
        <v>1</v>
      </c>
      <c r="E49" s="10" t="s">
        <v>22</v>
      </c>
      <c r="F49" s="11">
        <v>5.5</v>
      </c>
      <c r="G49" s="10" t="s">
        <v>275</v>
      </c>
      <c r="H49" s="10" t="s">
        <v>276</v>
      </c>
      <c r="I49" s="10" t="s">
        <v>34</v>
      </c>
      <c r="J49" s="12" t="s">
        <v>35</v>
      </c>
      <c r="K49" s="12" t="s">
        <v>122</v>
      </c>
      <c r="L49" s="12" t="s">
        <v>277</v>
      </c>
      <c r="M49" s="12"/>
      <c r="N49" s="12"/>
      <c r="O49" s="12"/>
      <c r="P49" s="10" t="s">
        <v>30</v>
      </c>
      <c r="Q49" s="12" t="s">
        <v>278</v>
      </c>
      <c r="R49" s="13">
        <f t="shared" si="1"/>
        <v>5.5</v>
      </c>
      <c r="S49" s="12" t="s">
        <v>129</v>
      </c>
    </row>
    <row r="50" spans="1:19" ht="54.75" customHeight="1" x14ac:dyDescent="0.45">
      <c r="A50" s="18" t="s">
        <v>122</v>
      </c>
      <c r="B50" s="18" t="s">
        <v>20</v>
      </c>
      <c r="C50" s="18" t="s">
        <v>21</v>
      </c>
      <c r="D50" s="19">
        <v>0.6</v>
      </c>
      <c r="E50" s="10" t="s">
        <v>22</v>
      </c>
      <c r="F50" s="11">
        <v>6</v>
      </c>
      <c r="G50" s="10" t="s">
        <v>279</v>
      </c>
      <c r="H50" s="10" t="s">
        <v>280</v>
      </c>
      <c r="I50" s="10" t="s">
        <v>124</v>
      </c>
      <c r="J50" s="12" t="s">
        <v>35</v>
      </c>
      <c r="K50" s="12" t="s">
        <v>122</v>
      </c>
      <c r="L50" s="12" t="s">
        <v>281</v>
      </c>
      <c r="M50" s="12"/>
      <c r="N50" s="12"/>
      <c r="O50" s="12"/>
      <c r="P50" s="10" t="s">
        <v>30</v>
      </c>
      <c r="Q50" s="12" t="s">
        <v>282</v>
      </c>
      <c r="R50" s="13">
        <f t="shared" si="1"/>
        <v>3.5999999999999996</v>
      </c>
      <c r="S50" s="12" t="s">
        <v>129</v>
      </c>
    </row>
    <row r="51" spans="1:19" ht="39.75" customHeight="1" x14ac:dyDescent="0.45">
      <c r="A51" s="18" t="s">
        <v>122</v>
      </c>
      <c r="B51" s="18" t="s">
        <v>20</v>
      </c>
      <c r="C51" s="18" t="s">
        <v>21</v>
      </c>
      <c r="D51" s="19">
        <v>0.8</v>
      </c>
      <c r="E51" s="10" t="s">
        <v>22</v>
      </c>
      <c r="F51" s="11">
        <v>4.62</v>
      </c>
      <c r="G51" s="10" t="s">
        <v>283</v>
      </c>
      <c r="H51" s="10" t="s">
        <v>284</v>
      </c>
      <c r="I51" s="10" t="s">
        <v>285</v>
      </c>
      <c r="J51" s="12" t="s">
        <v>35</v>
      </c>
      <c r="K51" s="12" t="s">
        <v>122</v>
      </c>
      <c r="L51" s="12" t="s">
        <v>286</v>
      </c>
      <c r="M51" s="12"/>
      <c r="N51" s="12"/>
      <c r="O51" s="12"/>
      <c r="P51" s="10" t="s">
        <v>69</v>
      </c>
      <c r="Q51" s="12"/>
      <c r="R51" s="13">
        <f t="shared" si="1"/>
        <v>3.6960000000000002</v>
      </c>
      <c r="S51" s="12" t="s">
        <v>129</v>
      </c>
    </row>
    <row r="52" spans="1:19" ht="39.75" customHeight="1" x14ac:dyDescent="0.45">
      <c r="A52" s="18" t="s">
        <v>122</v>
      </c>
      <c r="B52" s="18" t="s">
        <v>20</v>
      </c>
      <c r="C52" s="18" t="s">
        <v>21</v>
      </c>
      <c r="D52" s="19">
        <v>1.2</v>
      </c>
      <c r="E52" s="10" t="s">
        <v>22</v>
      </c>
      <c r="F52" s="11">
        <v>3.2</v>
      </c>
      <c r="G52" s="10" t="s">
        <v>287</v>
      </c>
      <c r="H52" s="10" t="s">
        <v>273</v>
      </c>
      <c r="I52" s="10" t="s">
        <v>110</v>
      </c>
      <c r="J52" s="12" t="s">
        <v>35</v>
      </c>
      <c r="K52" s="12" t="s">
        <v>122</v>
      </c>
      <c r="L52" s="12" t="s">
        <v>288</v>
      </c>
      <c r="M52" s="12"/>
      <c r="N52" s="12"/>
      <c r="O52" s="12"/>
      <c r="P52" s="10" t="s">
        <v>69</v>
      </c>
      <c r="Q52" s="12"/>
      <c r="R52" s="13">
        <f t="shared" si="1"/>
        <v>3.84</v>
      </c>
      <c r="S52" s="12" t="s">
        <v>129</v>
      </c>
    </row>
    <row r="53" spans="1:19" ht="39.75" customHeight="1" x14ac:dyDescent="0.45">
      <c r="A53" s="18" t="s">
        <v>130</v>
      </c>
      <c r="B53" s="18" t="s">
        <v>20</v>
      </c>
      <c r="C53" s="18" t="s">
        <v>21</v>
      </c>
      <c r="D53" s="19">
        <v>2.2000000000000002</v>
      </c>
      <c r="E53" s="10" t="s">
        <v>45</v>
      </c>
      <c r="F53" s="11">
        <v>7.8</v>
      </c>
      <c r="G53" s="10" t="s">
        <v>289</v>
      </c>
      <c r="H53" s="10" t="s">
        <v>290</v>
      </c>
      <c r="I53" s="10" t="s">
        <v>124</v>
      </c>
      <c r="J53" s="12" t="s">
        <v>35</v>
      </c>
      <c r="K53" s="12" t="s">
        <v>130</v>
      </c>
      <c r="L53" s="12" t="s">
        <v>291</v>
      </c>
      <c r="M53" s="12"/>
      <c r="N53" s="12"/>
      <c r="O53" s="12"/>
      <c r="P53" s="10" t="s">
        <v>30</v>
      </c>
      <c r="Q53" s="12"/>
      <c r="R53" s="13">
        <f t="shared" si="1"/>
        <v>17.16</v>
      </c>
      <c r="S53" s="12" t="s">
        <v>40</v>
      </c>
    </row>
    <row r="54" spans="1:19" ht="39.75" customHeight="1" x14ac:dyDescent="0.45">
      <c r="A54" s="18" t="s">
        <v>130</v>
      </c>
      <c r="B54" s="18" t="s">
        <v>20</v>
      </c>
      <c r="C54" s="18" t="s">
        <v>21</v>
      </c>
      <c r="D54" s="19">
        <v>2.2000000000000002</v>
      </c>
      <c r="E54" s="10" t="s">
        <v>45</v>
      </c>
      <c r="F54" s="11">
        <v>5.62</v>
      </c>
      <c r="G54" s="10" t="s">
        <v>292</v>
      </c>
      <c r="H54" s="10" t="s">
        <v>290</v>
      </c>
      <c r="I54" s="10" t="s">
        <v>124</v>
      </c>
      <c r="J54" s="12" t="s">
        <v>35</v>
      </c>
      <c r="K54" s="12" t="s">
        <v>130</v>
      </c>
      <c r="L54" s="12" t="s">
        <v>293</v>
      </c>
      <c r="M54" s="12"/>
      <c r="N54" s="12"/>
      <c r="O54" s="12"/>
      <c r="P54" s="10" t="s">
        <v>69</v>
      </c>
      <c r="Q54" s="12"/>
      <c r="R54" s="13">
        <f t="shared" si="1"/>
        <v>12.364000000000001</v>
      </c>
      <c r="S54" s="12" t="s">
        <v>40</v>
      </c>
    </row>
    <row r="55" spans="1:19" ht="39.75" customHeight="1" x14ac:dyDescent="0.45">
      <c r="A55" s="18" t="s">
        <v>130</v>
      </c>
      <c r="B55" s="18" t="s">
        <v>20</v>
      </c>
      <c r="C55" s="18" t="s">
        <v>21</v>
      </c>
      <c r="D55" s="19">
        <v>3.96</v>
      </c>
      <c r="E55" s="10" t="s">
        <v>22</v>
      </c>
      <c r="F55" s="11">
        <v>2.84</v>
      </c>
      <c r="G55" s="10" t="s">
        <v>294</v>
      </c>
      <c r="H55" s="10" t="s">
        <v>295</v>
      </c>
      <c r="I55" s="10" t="s">
        <v>124</v>
      </c>
      <c r="J55" s="12" t="s">
        <v>35</v>
      </c>
      <c r="K55" s="12" t="s">
        <v>130</v>
      </c>
      <c r="L55" s="12" t="s">
        <v>296</v>
      </c>
      <c r="M55" s="12"/>
      <c r="N55" s="12"/>
      <c r="O55" s="12"/>
      <c r="P55" s="10" t="s">
        <v>69</v>
      </c>
      <c r="Q55" s="12"/>
      <c r="R55" s="13">
        <f t="shared" si="1"/>
        <v>11.2464</v>
      </c>
      <c r="S55" s="12" t="s">
        <v>40</v>
      </c>
    </row>
    <row r="56" spans="1:19" ht="39.75" customHeight="1" x14ac:dyDescent="0.45">
      <c r="A56" s="18" t="s">
        <v>136</v>
      </c>
      <c r="B56" s="18" t="s">
        <v>20</v>
      </c>
      <c r="C56" s="18" t="s">
        <v>21</v>
      </c>
      <c r="D56" s="19">
        <v>0.6</v>
      </c>
      <c r="E56" s="10" t="s">
        <v>22</v>
      </c>
      <c r="F56" s="11">
        <v>6.51</v>
      </c>
      <c r="G56" s="10" t="s">
        <v>297</v>
      </c>
      <c r="H56" s="10" t="s">
        <v>298</v>
      </c>
      <c r="I56" s="10" t="s">
        <v>138</v>
      </c>
      <c r="J56" s="12" t="s">
        <v>35</v>
      </c>
      <c r="K56" s="12" t="s">
        <v>136</v>
      </c>
      <c r="L56" s="12" t="s">
        <v>299</v>
      </c>
      <c r="M56" s="12"/>
      <c r="N56" s="12"/>
      <c r="O56" s="12"/>
      <c r="P56" s="10" t="s">
        <v>69</v>
      </c>
      <c r="Q56" s="12"/>
      <c r="R56" s="13">
        <f t="shared" si="1"/>
        <v>3.9059999999999997</v>
      </c>
      <c r="S56" s="12" t="s">
        <v>129</v>
      </c>
    </row>
    <row r="57" spans="1:19" ht="39.75" customHeight="1" x14ac:dyDescent="0.45">
      <c r="A57" s="18" t="s">
        <v>136</v>
      </c>
      <c r="B57" s="18" t="s">
        <v>20</v>
      </c>
      <c r="C57" s="18" t="s">
        <v>21</v>
      </c>
      <c r="D57" s="19">
        <v>0.4</v>
      </c>
      <c r="E57" s="10" t="s">
        <v>22</v>
      </c>
      <c r="F57" s="11">
        <v>8.51</v>
      </c>
      <c r="G57" s="10" t="s">
        <v>300</v>
      </c>
      <c r="H57" s="10" t="s">
        <v>301</v>
      </c>
      <c r="I57" s="10" t="s">
        <v>138</v>
      </c>
      <c r="J57" s="12" t="s">
        <v>35</v>
      </c>
      <c r="K57" s="12" t="s">
        <v>136</v>
      </c>
      <c r="L57" s="12" t="s">
        <v>302</v>
      </c>
      <c r="M57" s="12"/>
      <c r="N57" s="12"/>
      <c r="O57" s="12"/>
      <c r="P57" s="10" t="s">
        <v>69</v>
      </c>
      <c r="Q57" s="12"/>
      <c r="R57" s="13">
        <f t="shared" si="1"/>
        <v>3.4039999999999999</v>
      </c>
      <c r="S57" s="12" t="s">
        <v>129</v>
      </c>
    </row>
    <row r="58" spans="1:19" ht="39.75" customHeight="1" x14ac:dyDescent="0.45">
      <c r="A58" s="18" t="s">
        <v>303</v>
      </c>
      <c r="B58" s="18" t="s">
        <v>20</v>
      </c>
      <c r="C58" s="18" t="s">
        <v>21</v>
      </c>
      <c r="D58" s="20">
        <v>9.5000000000000001E-2</v>
      </c>
      <c r="E58" s="10" t="s">
        <v>45</v>
      </c>
      <c r="F58" s="11">
        <v>115</v>
      </c>
      <c r="G58" s="10" t="s">
        <v>304</v>
      </c>
      <c r="H58" s="10" t="s">
        <v>305</v>
      </c>
      <c r="I58" s="10" t="s">
        <v>237</v>
      </c>
      <c r="J58" s="12" t="s">
        <v>35</v>
      </c>
      <c r="K58" s="12" t="s">
        <v>303</v>
      </c>
      <c r="L58" s="12" t="s">
        <v>306</v>
      </c>
      <c r="M58" s="12" t="s">
        <v>307</v>
      </c>
      <c r="N58" s="12" t="s">
        <v>308</v>
      </c>
      <c r="O58" s="12" t="s">
        <v>309</v>
      </c>
      <c r="P58" s="10"/>
      <c r="Q58" s="12"/>
      <c r="R58" s="13">
        <f t="shared" si="1"/>
        <v>10.925000000000001</v>
      </c>
      <c r="S58" s="12" t="s">
        <v>40</v>
      </c>
    </row>
    <row r="59" spans="1:19" ht="39.75" customHeight="1" x14ac:dyDescent="0.45">
      <c r="A59" s="18" t="s">
        <v>310</v>
      </c>
      <c r="B59" s="18" t="s">
        <v>20</v>
      </c>
      <c r="C59" s="18" t="s">
        <v>21</v>
      </c>
      <c r="D59" s="19">
        <v>2</v>
      </c>
      <c r="E59" s="10" t="s">
        <v>22</v>
      </c>
      <c r="F59" s="11">
        <v>3.9</v>
      </c>
      <c r="G59" s="10" t="s">
        <v>311</v>
      </c>
      <c r="H59" s="10" t="s">
        <v>312</v>
      </c>
      <c r="I59" s="10" t="s">
        <v>34</v>
      </c>
      <c r="J59" s="12" t="s">
        <v>35</v>
      </c>
      <c r="K59" s="12" t="s">
        <v>310</v>
      </c>
      <c r="L59" s="12" t="s">
        <v>313</v>
      </c>
      <c r="M59" s="12" t="s">
        <v>314</v>
      </c>
      <c r="N59" s="12" t="s">
        <v>315</v>
      </c>
      <c r="O59" s="12" t="s">
        <v>316</v>
      </c>
      <c r="P59" s="10" t="s">
        <v>317</v>
      </c>
      <c r="Q59" s="12"/>
      <c r="R59" s="13">
        <f t="shared" si="1"/>
        <v>7.8</v>
      </c>
      <c r="S59" s="12" t="s">
        <v>40</v>
      </c>
    </row>
    <row r="60" spans="1:19" ht="39.75" customHeight="1" x14ac:dyDescent="0.45">
      <c r="A60" s="18" t="s">
        <v>310</v>
      </c>
      <c r="B60" s="18" t="s">
        <v>20</v>
      </c>
      <c r="C60" s="18" t="s">
        <v>21</v>
      </c>
      <c r="D60" s="19">
        <v>1.5</v>
      </c>
      <c r="E60" s="10" t="s">
        <v>22</v>
      </c>
      <c r="F60" s="11">
        <v>3.9</v>
      </c>
      <c r="G60" s="10" t="s">
        <v>311</v>
      </c>
      <c r="H60" s="10" t="s">
        <v>312</v>
      </c>
      <c r="I60" s="10" t="s">
        <v>25</v>
      </c>
      <c r="J60" s="12" t="s">
        <v>35</v>
      </c>
      <c r="K60" s="12" t="s">
        <v>310</v>
      </c>
      <c r="L60" s="12" t="s">
        <v>318</v>
      </c>
      <c r="M60" s="12" t="s">
        <v>319</v>
      </c>
      <c r="N60" s="12" t="s">
        <v>320</v>
      </c>
      <c r="O60" s="12" t="s">
        <v>316</v>
      </c>
      <c r="P60" s="10" t="s">
        <v>317</v>
      </c>
      <c r="Q60" s="12"/>
      <c r="R60" s="13">
        <f t="shared" si="1"/>
        <v>5.85</v>
      </c>
      <c r="S60" s="12" t="s">
        <v>40</v>
      </c>
    </row>
    <row r="61" spans="1:19" ht="39.75" customHeight="1" x14ac:dyDescent="0.45">
      <c r="A61" s="18" t="s">
        <v>321</v>
      </c>
      <c r="B61" s="18" t="s">
        <v>20</v>
      </c>
      <c r="C61" s="18" t="s">
        <v>21</v>
      </c>
      <c r="D61" s="20">
        <v>7.0000000000000007E-2</v>
      </c>
      <c r="E61" s="10" t="s">
        <v>45</v>
      </c>
      <c r="F61" s="11">
        <f>115/0.35</f>
        <v>328.57142857142861</v>
      </c>
      <c r="G61" s="10" t="s">
        <v>322</v>
      </c>
      <c r="H61" s="10" t="s">
        <v>323</v>
      </c>
      <c r="I61" s="10" t="s">
        <v>25</v>
      </c>
      <c r="J61" s="12" t="s">
        <v>35</v>
      </c>
      <c r="K61" s="12" t="s">
        <v>321</v>
      </c>
      <c r="L61" s="12" t="s">
        <v>324</v>
      </c>
      <c r="M61" s="12" t="s">
        <v>325</v>
      </c>
      <c r="N61" s="12" t="s">
        <v>326</v>
      </c>
      <c r="O61" s="12" t="s">
        <v>327</v>
      </c>
      <c r="P61" s="10" t="s">
        <v>328</v>
      </c>
      <c r="Q61" s="12"/>
      <c r="R61" s="13">
        <f t="shared" si="1"/>
        <v>23.000000000000004</v>
      </c>
      <c r="S61" s="12" t="s">
        <v>40</v>
      </c>
    </row>
    <row r="62" spans="1:19" ht="15.75" customHeight="1" x14ac:dyDescent="0.45"/>
    <row r="63" spans="1:19" ht="15.75" customHeight="1" x14ac:dyDescent="0.45">
      <c r="A63" s="21" t="s">
        <v>329</v>
      </c>
    </row>
    <row r="64" spans="1:19" ht="15.75" customHeight="1" x14ac:dyDescent="0.45">
      <c r="A64" s="22" t="s">
        <v>330</v>
      </c>
    </row>
    <row r="65" spans="1:1" ht="15.75" customHeight="1" x14ac:dyDescent="0.45">
      <c r="A65" s="22" t="s">
        <v>331</v>
      </c>
    </row>
    <row r="66" spans="1:1" ht="15.75" customHeight="1" x14ac:dyDescent="0.45">
      <c r="A66" s="22" t="s">
        <v>332</v>
      </c>
    </row>
    <row r="67" spans="1:1" ht="15.75" customHeight="1" x14ac:dyDescent="0.45">
      <c r="A67" s="22" t="s">
        <v>333</v>
      </c>
    </row>
    <row r="68" spans="1:1" ht="15.75" customHeight="1" x14ac:dyDescent="0.45">
      <c r="A68" s="22" t="s">
        <v>334</v>
      </c>
    </row>
    <row r="69" spans="1:1" ht="15.75" customHeight="1" x14ac:dyDescent="0.45">
      <c r="A69" s="22" t="s">
        <v>335</v>
      </c>
    </row>
    <row r="70" spans="1:1" ht="15.75" customHeight="1" x14ac:dyDescent="0.45">
      <c r="A70" s="22" t="s">
        <v>336</v>
      </c>
    </row>
    <row r="71" spans="1:1" ht="15.75" customHeight="1" x14ac:dyDescent="0.45"/>
    <row r="72" spans="1:1" ht="15.75" customHeight="1" x14ac:dyDescent="0.45"/>
    <row r="73" spans="1:1" ht="15.75" customHeight="1" x14ac:dyDescent="0.45"/>
    <row r="74" spans="1:1" ht="15.75" customHeight="1" x14ac:dyDescent="0.45"/>
    <row r="75" spans="1:1" ht="15.75" customHeight="1" x14ac:dyDescent="0.45"/>
    <row r="76" spans="1:1" ht="15.75" customHeight="1" x14ac:dyDescent="0.45"/>
    <row r="77" spans="1:1" ht="15.75" customHeight="1" x14ac:dyDescent="0.45"/>
    <row r="78" spans="1:1" ht="15.75" customHeight="1" x14ac:dyDescent="0.45"/>
    <row r="79" spans="1:1" ht="15.75" customHeight="1" x14ac:dyDescent="0.45"/>
    <row r="80" spans="1:1"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row r="989" ht="15.75" customHeight="1" x14ac:dyDescent="0.45"/>
    <row r="990" ht="15.75" customHeight="1" x14ac:dyDescent="0.45"/>
    <row r="991" ht="15.75" customHeight="1" x14ac:dyDescent="0.45"/>
    <row r="992" ht="15.75" customHeight="1" x14ac:dyDescent="0.45"/>
    <row r="993" ht="15.75" customHeight="1" x14ac:dyDescent="0.45"/>
    <row r="994" ht="15.75" customHeight="1" x14ac:dyDescent="0.45"/>
    <row r="995" ht="15.75" customHeight="1" x14ac:dyDescent="0.45"/>
    <row r="996" ht="15.75" customHeight="1" x14ac:dyDescent="0.45"/>
    <row r="997" ht="15.75" customHeight="1" x14ac:dyDescent="0.45"/>
    <row r="998" ht="15.75" customHeight="1" x14ac:dyDescent="0.45"/>
    <row r="999" ht="15.75" customHeight="1" x14ac:dyDescent="0.45"/>
    <row r="1000" ht="15.75" customHeight="1" x14ac:dyDescent="0.45"/>
  </sheetData>
  <autoFilter ref="A2:S61" xr:uid="{00000000-0009-0000-0000-000000000000}"/>
  <mergeCells count="1">
    <mergeCell ref="G1:H1"/>
  </mergeCells>
  <dataValidations count="1">
    <dataValidation type="list" allowBlank="1" sqref="E3:E61" xr:uid="{00000000-0002-0000-0000-000000000000}">
      <formula1>"L/ha,kg/ha"</formula1>
      <formula2>0</formula2>
    </dataValidation>
  </dataValidations>
  <pageMargins left="0.75" right="0.75" top="1" bottom="1" header="0.511811023622047" footer="0.511811023622047"/>
  <pageSetup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Productos fitosanitarios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denise pujalte</cp:lastModifiedBy>
  <cp:revision>0</cp:revision>
  <dcterms:created xsi:type="dcterms:W3CDTF">2026-10-26T06:54:05Z</dcterms:created>
  <dcterms:modified xsi:type="dcterms:W3CDTF">2026-10-26T19:03:50Z</dcterms:modified>
  <dc:language>en-US</dc:language>
</cp:coreProperties>
</file>